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Вопрос 2" sheetId="2" r:id="rId5"/>
    <sheet state="visible" name="Вопрос 3-6" sheetId="3" r:id="rId6"/>
    <sheet state="visible" name="Темп Совокупной Инфляции" sheetId="4" r:id="rId7"/>
    <sheet state="visible" name="Инфляционные ожидания" sheetId="5" r:id="rId8"/>
    <sheet state="visible" name="Темп роста ВВП" sheetId="6" r:id="rId9"/>
    <sheet state="visible" name="Разрыв выпуска" sheetId="7" r:id="rId10"/>
    <sheet state="visible" name="Темп Базовой Инфляции" sheetId="8" r:id="rId11"/>
    <sheet state="visible" name="Composite Leading Indicator (CL" sheetId="9" r:id="rId12"/>
  </sheets>
  <definedNames/>
  <calcPr/>
</workbook>
</file>

<file path=xl/sharedStrings.xml><?xml version="1.0" encoding="utf-8"?>
<sst xmlns="http://schemas.openxmlformats.org/spreadsheetml/2006/main" count="285" uniqueCount="201">
  <si>
    <t>Дата</t>
  </si>
  <si>
    <t>Темп Совокупной Инфляции</t>
  </si>
  <si>
    <t>Инфляционные ожидания</t>
  </si>
  <si>
    <t>Темп прироста ВВП</t>
  </si>
  <si>
    <t>Разрыв выпуска</t>
  </si>
  <si>
    <t>Темп Базовой Инфляции</t>
  </si>
  <si>
    <t>Composite Leading Indicator (CLI)</t>
  </si>
  <si>
    <t>Мин</t>
  </si>
  <si>
    <t>Макс</t>
  </si>
  <si>
    <t>Среднее</t>
  </si>
  <si>
    <t>Медиана</t>
  </si>
  <si>
    <t>Мода</t>
  </si>
  <si>
    <t>Ст Откл</t>
  </si>
  <si>
    <t>Асимметрия</t>
  </si>
  <si>
    <t>-1.825</t>
  </si>
  <si>
    <t>3.698</t>
  </si>
  <si>
    <t>0.794</t>
  </si>
  <si>
    <t>0.654</t>
  </si>
  <si>
    <t>0.054</t>
  </si>
  <si>
    <t>0.713</t>
  </si>
  <si>
    <t>0.739</t>
  </si>
  <si>
    <t>0.005</t>
  </si>
  <si>
    <t>0.429</t>
  </si>
  <si>
    <t>0.141</t>
  </si>
  <si>
    <t>0.110</t>
  </si>
  <si>
    <t>0.105</t>
  </si>
  <si>
    <t>0.089</t>
  </si>
  <si>
    <t>1.747</t>
  </si>
  <si>
    <t>Темп роста ВВП</t>
  </si>
  <si>
    <t>-0.223</t>
  </si>
  <si>
    <t>0.496</t>
  </si>
  <si>
    <t>0.129</t>
  </si>
  <si>
    <t>0.126</t>
  </si>
  <si>
    <t>0.104</t>
  </si>
  <si>
    <t>0.078</t>
  </si>
  <si>
    <t>-0.167</t>
  </si>
  <si>
    <t>-0.070</t>
  </si>
  <si>
    <t>0.032</t>
  </si>
  <si>
    <t>0.000</t>
  </si>
  <si>
    <t>0.012</t>
  </si>
  <si>
    <t>-1.709</t>
  </si>
  <si>
    <t>-0.033</t>
  </si>
  <si>
    <t>0.037</t>
  </si>
  <si>
    <t>0.001</t>
  </si>
  <si>
    <t>0.007</t>
  </si>
  <si>
    <t>0.043</t>
  </si>
  <si>
    <t>97.242</t>
  </si>
  <si>
    <t>102.351</t>
  </si>
  <si>
    <t>99.995</t>
  </si>
  <si>
    <t>99.960</t>
  </si>
  <si>
    <t>98.900</t>
  </si>
  <si>
    <t>0.909</t>
  </si>
  <si>
    <t>-0.145</t>
  </si>
  <si>
    <t>Метрика</t>
  </si>
  <si>
    <t>Spec 1 (Headline Infation)</t>
  </si>
  <si>
    <t>Spec 2 (Headline Infation)</t>
  </si>
  <si>
    <t>Spec 1 (Core inflation)</t>
  </si>
  <si>
    <t>Spec 2 (Core inflation)</t>
  </si>
  <si>
    <t>Spec 3</t>
  </si>
  <si>
    <t>Spec 4</t>
  </si>
  <si>
    <t>Spec 5</t>
  </si>
  <si>
    <t>Spec 6</t>
  </si>
  <si>
    <t>Spec 7</t>
  </si>
  <si>
    <t>R-squared</t>
  </si>
  <si>
    <t>0.264</t>
  </si>
  <si>
    <t>0.154</t>
  </si>
  <si>
    <t>0.346</t>
  </si>
  <si>
    <t>0.006</t>
  </si>
  <si>
    <t>0.004</t>
  </si>
  <si>
    <t>0.347</t>
  </si>
  <si>
    <t>0.353</t>
  </si>
  <si>
    <t>0.390</t>
  </si>
  <si>
    <t>Adjusted R-squared</t>
  </si>
  <si>
    <t>0.243</t>
  </si>
  <si>
    <t>0.148</t>
  </si>
  <si>
    <t>0.328</t>
  </si>
  <si>
    <t>-0.001</t>
  </si>
  <si>
    <t>-0.003</t>
  </si>
  <si>
    <t>0.324</t>
  </si>
  <si>
    <t>0.330</t>
  </si>
  <si>
    <t>0.368</t>
  </si>
  <si>
    <t>F-statistic (p-value)</t>
  </si>
  <si>
    <t>12.57 (p &lt; 0.001)</t>
  </si>
  <si>
    <t>26.75 (p &lt; 0.001)</t>
  </si>
  <si>
    <t>18.67 (p &lt; 0.001)</t>
  </si>
  <si>
    <t>0.8807 (p = 0.350)</t>
  </si>
  <si>
    <t>0.7854 (p = 0.377)</t>
  </si>
  <si>
    <t>0.6147 (p = 0.434)</t>
  </si>
  <si>
    <t>14.88 (p &lt; 0.001)</t>
  </si>
  <si>
    <t>15.28 -0.0250 (p &lt; 0.001)</t>
  </si>
  <si>
    <t>17.88 (p &lt; 0.001)</t>
  </si>
  <si>
    <t>AIC</t>
  </si>
  <si>
    <t>313.0</t>
  </si>
  <si>
    <t>294.4</t>
  </si>
  <si>
    <t>-976.8</t>
  </si>
  <si>
    <t>-1046.0</t>
  </si>
  <si>
    <t>-1039.0</t>
  </si>
  <si>
    <t>-1015.0</t>
  </si>
  <si>
    <t>-974.9</t>
  </si>
  <si>
    <t>-976.3</t>
  </si>
  <si>
    <t>-984.8</t>
  </si>
  <si>
    <t>BIC</t>
  </si>
  <si>
    <t>327.9</t>
  </si>
  <si>
    <t>300.4</t>
  </si>
  <si>
    <t>-961.8</t>
  </si>
  <si>
    <t>-1040.0</t>
  </si>
  <si>
    <t>-1032.0</t>
  </si>
  <si>
    <t>-1009.0</t>
  </si>
  <si>
    <t>-957.0</t>
  </si>
  <si>
    <t>-958.4</t>
  </si>
  <si>
    <t>-966.9</t>
  </si>
  <si>
    <t>Durbin-Watson (DW)</t>
  </si>
  <si>
    <t>1.262</t>
  </si>
  <si>
    <t>1.375</t>
  </si>
  <si>
    <t>1.169</t>
  </si>
  <si>
    <t>1.347</t>
  </si>
  <si>
    <t>1.350</t>
  </si>
  <si>
    <t>1.355</t>
  </si>
  <si>
    <t>1.162</t>
  </si>
  <si>
    <t>1.221</t>
  </si>
  <si>
    <t>1.267</t>
  </si>
  <si>
    <t>Статистика Джарка-Бера (p-value)</t>
  </si>
  <si>
    <t>73.600 (p &lt; 0.001)</t>
  </si>
  <si>
    <t>102.997 (p &lt; 0.001)</t>
  </si>
  <si>
    <t>61.065 (p &lt; 0.001)</t>
  </si>
  <si>
    <t>250.402 (p &lt; 0.001)</t>
  </si>
  <si>
    <t>240.280 (p &lt; 0.001)</t>
  </si>
  <si>
    <t>231.056 (p &lt; 0.001)</t>
  </si>
  <si>
    <t>60.979 (p &lt; 0.001)</t>
  </si>
  <si>
    <t>64.463 (p &lt; 0.001)</t>
  </si>
  <si>
    <t>65.476 (p &lt; 0.001)</t>
  </si>
  <si>
    <t>Коэффициенты</t>
  </si>
  <si>
    <t>const</t>
  </si>
  <si>
    <t>-0.0305 (p = 0.600)</t>
  </si>
  <si>
    <t>0.3780 (p &lt; 0.001)</t>
  </si>
  <si>
    <t>0.0002 (p = 0.827)</t>
  </si>
  <si>
    <t>0.0007 (p = 0.270)</t>
  </si>
  <si>
    <t>-7.666e-05 (p = 0.946)</t>
  </si>
  <si>
    <t>0.0009 (p = 0.166)</t>
  </si>
  <si>
    <t>0.0002 (p = 0.822)</t>
  </si>
  <si>
    <t>-0.0013 (p = 0.349)</t>
  </si>
  <si>
    <t>-0.2360 (p = 0.002)</t>
  </si>
  <si>
    <t>t-t-1</t>
  </si>
  <si>
    <t>-0.6594 (p &lt; 0.001)</t>
  </si>
  <si>
    <t>-</t>
  </si>
  <si>
    <t>-0.7585 (p &lt; 0.001)</t>
  </si>
  <si>
    <t>-0.7536 (p &lt; 0.001)</t>
  </si>
  <si>
    <t>-0.7765 (p &lt; 0.001)</t>
  </si>
  <si>
    <t>-0.7625 (p &lt; 0.001)</t>
  </si>
  <si>
    <t>t-1-t-2</t>
  </si>
  <si>
    <t>-0.3597 (p = 0.001)</t>
  </si>
  <si>
    <t>-0.5693 (p &lt; 0.001)</t>
  </si>
  <si>
    <t>-0.5632 (p &lt; 0.001)</t>
  </si>
  <si>
    <t>-0.5889 (p &lt; 0.001)</t>
  </si>
  <si>
    <t>-0.5758 (p &lt; 0.001)</t>
  </si>
  <si>
    <t>t-2-t-3</t>
  </si>
  <si>
    <t>-0.1994 (p = 0.072)</t>
  </si>
  <si>
    <t>-0.4095 (p &lt; 0.001)</t>
  </si>
  <si>
    <t>-0.4044 (p &lt; 0.001)</t>
  </si>
  <si>
    <t>-0.4325 (p &lt; 0.001)</t>
  </si>
  <si>
    <t>-0.4153 (p &lt; 0.001)</t>
  </si>
  <si>
    <t>t-3-t-4</t>
  </si>
  <si>
    <t>-0.1189 (p = 0.206)</t>
  </si>
  <si>
    <t>-0.2671 (p = 0.004)</t>
  </si>
  <si>
    <t>-0.2665 (p = 0.005)</t>
  </si>
  <si>
    <t>-0.2811 (p = 0.003)</t>
  </si>
  <si>
    <t>-0.2682 (p = 0.003)</t>
  </si>
  <si>
    <t>x1_t-1</t>
  </si>
  <si>
    <t>-0.0250 (p = 0.685)</t>
  </si>
  <si>
    <t>x2_t-1</t>
  </si>
  <si>
    <t>0.0111 (p = 0.227)</t>
  </si>
  <si>
    <t>x3_t-1</t>
  </si>
  <si>
    <t>0.0024 (p = 0.002)</t>
  </si>
  <si>
    <t>mean_last_4_quarters</t>
  </si>
  <si>
    <t>0.4974 (p &lt; 0.001)</t>
  </si>
  <si>
    <t>0.1197 (p = 0.350)</t>
  </si>
  <si>
    <t>0.0060 (p = 0.377)</t>
  </si>
  <si>
    <t>Темп прироста ожиданий</t>
  </si>
  <si>
    <t>0.0109 (p = 0.434)</t>
  </si>
  <si>
    <t>Источник данных: https://cbonds.ru/indexes/41423/</t>
  </si>
  <si>
    <t xml:space="preserve">Мы взяли данные по совокупной инфляции в годовом выражении (индекс отражает изменение уровня потребительских цен к предыдущему кварталу).  </t>
  </si>
  <si>
    <t>Источник данных: https://cbonds.ru/indexes/92578/</t>
  </si>
  <si>
    <r>
      <rPr>
        <rFont val="Times New Roman"/>
        <sz val="11.0"/>
      </rPr>
      <t xml:space="preserve">Мы взяли инфляционные ожидания (разница между номинальной доходностью 10-летних облигаций и доходностью 10-летних облигаций, индексированной на инфляцию).  Для аннуализации данных мы использовали  формулу:
(1 + r)^n - 1 , которую взяли </t>
    </r>
    <r>
      <rPr>
        <rFont val="Times New Roman"/>
        <color rgb="FF1155CC"/>
        <sz val="11.0"/>
        <u/>
      </rPr>
      <t>Investopedia</t>
    </r>
  </si>
  <si>
    <t>Аннуализированные Инфляционные ожидания.</t>
  </si>
  <si>
    <t>Источник данных: https://cbonds.ru/indexes/41433/</t>
  </si>
  <si>
    <t xml:space="preserve">Мы взяли данные по темпу роста ВВП. Для аннуализации данных мы использовали ту же формулу:
(1 + r)^n - 1 </t>
  </si>
  <si>
    <t>Аннуализированный темп прироста ВВП</t>
  </si>
  <si>
    <t>Источник данных: https://cbonds.ru/indexes/41507/</t>
  </si>
  <si>
    <t xml:space="preserve">Для оценки потенциального реального ВВП (Potential Real GDP) мы применили фильтр Ходрика-Прескотта (HP-фильтр), который разделяет временной ряд реального ВВП на трендовую и циклическую компоненты, выделяя долгосрочные экономические тренды. Используя библиотеку statsmodels, мы рассчитали трендовую компоненту, которая была интерпретирована как потенциальный ВВП, и добавили её в DataFrame для визуализации. На графике представлены фактический (Real GDP) и потенциальный ВВП. Разрыв выпуска (Output Gap), определённый как разница между фактическим и потенциальным ВВП, был рассчитан тут.
</t>
  </si>
  <si>
    <t>ВВП в постоянных ценах</t>
  </si>
  <si>
    <t>ВВП в долларах (1 AUD = 0,65 USD)</t>
  </si>
  <si>
    <t>Потенциальный реальный ВВП</t>
  </si>
  <si>
    <t>Источник: https://cbonds.ru/indexes/41437/</t>
  </si>
  <si>
    <t xml:space="preserve">Мы взяли данные темпа базовой инфляции. Данные представлены с исключением сезонного фактора. Для получения годового (аннуализированного) показателя была использована все та же формула:
(1 + r)^n - 1 
</t>
  </si>
  <si>
    <t>Темп Базовой инфляции</t>
  </si>
  <si>
    <t>Аннуализированный Темп Базовой инфляции</t>
  </si>
  <si>
    <r>
      <rPr>
        <rFont val="Times New Roman"/>
        <sz val="11.0"/>
      </rPr>
      <t xml:space="preserve">Источник данных: </t>
    </r>
    <r>
      <rPr>
        <rFont val="Times New Roman"/>
        <color rgb="FF1155CC"/>
        <sz val="11.0"/>
        <u/>
      </rPr>
      <t>https://tradingeconomics.com/australia/composite-leading-indicator#:~:text=Composite%20Leading%20Indicator%20in%20Australia,points%20in%20October%20of%201974.</t>
    </r>
  </si>
  <si>
    <t>Индексом экономической активности мы взяли Композитный опережающий индекс - Composite Leading Indicator (CLI)</t>
  </si>
  <si>
    <r>
      <rPr>
        <rFont val="Times New Roman"/>
        <sz val="11.0"/>
      </rPr>
      <t xml:space="preserve">CLI агрегирует опережающие экономические индикаторы, такие как заказы, занятость, разрешения на строительство и другие компоненты, которые отражают текущую и будущую экономическую активность. Данный индекс в нашей работе может служить индикатором изменений в экономике, которые затем приводят к инфляционным или дефляционным эффектам. Мы не нашли литературу, которая оценивает кривую Филлипса по CLI, но </t>
    </r>
    <r>
      <rPr>
        <rFont val="Times New Roman"/>
        <color rgb="FF1155CC"/>
        <sz val="11.0"/>
        <u/>
      </rPr>
      <t>данная работа</t>
    </r>
    <r>
      <rPr>
        <rFont val="Times New Roman"/>
        <sz val="11.0"/>
      </rPr>
      <t xml:space="preserve"> показывает взаимосвязь CLI и инфляции. </t>
    </r>
  </si>
  <si>
    <r>
      <rPr>
        <rFont val="Times New Roman"/>
        <b/>
        <color rgb="FF0E0E0E"/>
        <sz val="12.0"/>
      </rPr>
      <t xml:space="preserve">Composite Leading Indicator (CLI) </t>
    </r>
    <r>
      <rPr>
        <rFont val="Times New Roman"/>
        <b val="0"/>
        <color rgb="FF0E0E0E"/>
        <sz val="12.0"/>
      </rPr>
      <t>ежемесячно</t>
    </r>
  </si>
  <si>
    <r>
      <rPr>
        <rFont val="Times New Roman"/>
        <b/>
        <color rgb="FF0E0E0E"/>
        <sz val="12.0"/>
      </rPr>
      <t xml:space="preserve">Composite Leading Indicator (CLI) </t>
    </r>
    <r>
      <rPr>
        <rFont val="Times New Roman"/>
        <b val="0"/>
        <color rgb="FF0E0E0E"/>
        <sz val="12.0"/>
      </rPr>
      <t>ежеквартально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</si>
</sst>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.yyyy"/>
    <numFmt numFmtId="166" formatCode="dd.mm.yyyy"/>
  </numFmts>
  <fonts count="32">
    <font>
      <sz val="11.0"/>
      <color rgb="FF000000"/>
      <name val="Calibri"/>
      <scheme val="minor"/>
    </font>
    <font>
      <b/>
      <sz val="12.0"/>
      <color theme="1"/>
      <name val="Times New Roman"/>
    </font>
    <font>
      <b/>
      <sz val="12.0"/>
      <color rgb="FF1F1F1F"/>
      <name val="Times New Roman"/>
    </font>
    <font>
      <b/>
      <sz val="12.0"/>
      <color rgb="FF0E0E0E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sz val="12.0"/>
      <color rgb="FF0E0E0E"/>
      <name val="Times New Roman"/>
    </font>
    <font>
      <color theme="1"/>
      <name val="Calibri"/>
      <scheme val="minor"/>
    </font>
    <font>
      <b/>
      <sz val="11.0"/>
      <color theme="1"/>
      <name val="Times New Roman"/>
    </font>
    <font>
      <b/>
      <color rgb="FF000000"/>
      <name val="Times New Roman"/>
    </font>
    <font>
      <color rgb="FF000000"/>
      <name val="System-ui"/>
    </font>
    <font>
      <b/>
      <sz val="11.0"/>
      <color rgb="FF000000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b/>
      <color rgb="FF000000"/>
      <name val="System-ui"/>
    </font>
    <font>
      <b/>
      <color theme="1"/>
      <name val="Times New Roman"/>
    </font>
    <font>
      <color rgb="FF000000"/>
      <name val="Times New Roman"/>
    </font>
    <font>
      <color theme="1"/>
      <name val="Times New Roman"/>
    </font>
    <font>
      <sz val="11.0"/>
      <color rgb="FF434343"/>
      <name val="Times New Roman"/>
    </font>
    <font>
      <sz val="11.0"/>
      <color rgb="FF0E0E0E"/>
      <name val="Times New Roman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Tahoma"/>
    </font>
    <font>
      <u/>
      <sz val="11.0"/>
      <color rgb="FF0000FF"/>
      <name val="Times New Roman"/>
    </font>
    <font>
      <color rgb="FF0E0E0E"/>
      <name val="Calibri"/>
      <scheme val="minor"/>
    </font>
    <font>
      <color rgb="FF000000"/>
      <name val="Calibri"/>
      <scheme val="minor"/>
    </font>
    <font>
      <b/>
      <color rgb="FF333333"/>
      <name val="Inherit"/>
    </font>
    <font>
      <sz val="9.0"/>
      <color rgb="FF333333"/>
      <name val="Arial"/>
    </font>
    <font>
      <sz val="9.0"/>
      <color rgb="FF000000"/>
      <name val="Calibri"/>
      <scheme val="minor"/>
    </font>
    <font>
      <sz val="9.0"/>
      <color rgb="FF000000"/>
      <name val="Arial"/>
    </font>
    <font>
      <sz val="12.0"/>
      <color theme="1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8F9FA"/>
        <bgColor rgb="FFF8F9FA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3B618E"/>
      </left>
      <right style="thin">
        <color theme="4"/>
      </right>
      <top style="thin">
        <color rgb="FF3B618E"/>
      </top>
      <bottom style="thin">
        <color rgb="FF3B618E"/>
      </bottom>
    </border>
    <border>
      <left style="thin">
        <color theme="4"/>
      </left>
      <right style="thin">
        <color theme="4"/>
      </right>
      <top style="thin">
        <color rgb="FF3B618E"/>
      </top>
      <bottom style="thin">
        <color rgb="FF3B618E"/>
      </bottom>
    </border>
    <border>
      <left style="thin">
        <color theme="4"/>
      </left>
      <right style="thin">
        <color rgb="FF3B618E"/>
      </right>
      <top style="thin">
        <color rgb="FF3B618E"/>
      </top>
      <bottom style="thin">
        <color rgb="FF3B618E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2" fillId="0" fontId="8" numFmtId="0" xfId="0" applyBorder="1" applyFont="1"/>
    <xf borderId="1" fillId="0" fontId="9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0" fillId="2" fontId="11" numFmtId="0" xfId="0" applyFont="1"/>
    <xf borderId="0" fillId="2" fontId="15" numFmtId="0" xfId="0" applyAlignment="1" applyFont="1">
      <alignment horizontal="right" readingOrder="0"/>
    </xf>
    <xf borderId="0" fillId="0" fontId="8" numFmtId="0" xfId="0" applyAlignment="1" applyFont="1">
      <alignment readingOrder="0"/>
    </xf>
    <xf borderId="3" fillId="3" fontId="16" numFmtId="0" xfId="0" applyAlignment="1" applyBorder="1" applyFill="1" applyFont="1">
      <alignment horizontal="center" readingOrder="0" shrinkToFit="0" vertical="center" wrapText="1"/>
    </xf>
    <xf borderId="4" fillId="3" fontId="16" numFmtId="0" xfId="0" applyAlignment="1" applyBorder="1" applyFont="1">
      <alignment horizontal="center" readingOrder="0" shrinkToFit="0" vertical="center" wrapText="1"/>
    </xf>
    <xf borderId="5" fillId="3" fontId="16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ont="1">
      <alignment horizontal="center" readingOrder="0" shrinkToFit="0" vertical="center" wrapText="0"/>
    </xf>
    <xf borderId="1" fillId="4" fontId="17" numFmtId="0" xfId="0" applyAlignment="1" applyBorder="1" applyFont="1">
      <alignment horizontal="center" readingOrder="0" shrinkToFit="0" vertical="center" wrapText="1"/>
    </xf>
    <xf borderId="1" fillId="4" fontId="18" numFmtId="0" xfId="0" applyAlignment="1" applyBorder="1" applyFont="1">
      <alignment horizontal="center" readingOrder="0" shrinkToFit="0" vertical="center" wrapText="1"/>
    </xf>
    <xf borderId="1" fillId="4" fontId="18" numFmtId="0" xfId="0" applyAlignment="1" applyBorder="1" applyFont="1">
      <alignment horizontal="center" readingOrder="0" shrinkToFit="0" vertical="center" wrapText="0"/>
    </xf>
    <xf borderId="0" fillId="4" fontId="8" numFmtId="0" xfId="0" applyFont="1"/>
    <xf borderId="1" fillId="4" fontId="14" numFmtId="0" xfId="0" applyAlignment="1" applyBorder="1" applyFont="1">
      <alignment horizontal="center" readingOrder="0" shrinkToFit="0" vertical="center" wrapText="1"/>
    </xf>
    <xf borderId="1" fillId="4" fontId="13" numFmtId="0" xfId="0" applyAlignment="1" applyBorder="1" applyFont="1">
      <alignment horizontal="center" readingOrder="0" shrinkToFit="0" vertical="center" wrapText="0"/>
    </xf>
    <xf borderId="1" fillId="4" fontId="13" numFmtId="21" xfId="0" applyAlignment="1" applyBorder="1" applyFont="1" applyNumberFormat="1">
      <alignment horizontal="center" readingOrder="0" shrinkToFit="0" vertical="center" wrapText="1"/>
    </xf>
    <xf borderId="1" fillId="4" fontId="14" numFmtId="0" xfId="0" applyAlignment="1" applyBorder="1" applyFont="1">
      <alignment horizontal="center" shrinkToFit="0" vertical="center" wrapText="0"/>
    </xf>
    <xf borderId="1" fillId="4" fontId="18" numFmtId="0" xfId="0" applyAlignment="1" applyBorder="1" applyFont="1">
      <alignment horizontal="center" shrinkToFit="0" vertical="center" wrapText="0"/>
    </xf>
    <xf borderId="1" fillId="4" fontId="12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vertical="center"/>
    </xf>
    <xf borderId="1" fillId="4" fontId="13" numFmtId="0" xfId="0" applyAlignment="1" applyBorder="1" applyFont="1">
      <alignment horizontal="center" readingOrder="0" shrinkToFit="0" vertical="center" wrapText="1"/>
    </xf>
    <xf borderId="1" fillId="4" fontId="18" numFmtId="0" xfId="0" applyAlignment="1" applyBorder="1" applyFont="1">
      <alignment horizontal="center" readingOrder="0"/>
    </xf>
    <xf borderId="1" fillId="4" fontId="14" numFmtId="0" xfId="0" applyAlignment="1" applyBorder="1" applyFont="1">
      <alignment horizontal="center" readingOrder="0" shrinkToFit="0" vertical="center" wrapText="1"/>
    </xf>
    <xf borderId="1" fillId="4" fontId="19" numFmtId="0" xfId="0" applyAlignment="1" applyBorder="1" applyFont="1">
      <alignment horizontal="center" shrinkToFit="0" wrapText="1"/>
    </xf>
    <xf borderId="1" fillId="4" fontId="17" numFmtId="0" xfId="0" applyAlignment="1" applyBorder="1" applyFont="1">
      <alignment horizontal="center" readingOrder="0" shrinkToFit="0" vertical="center" wrapText="1"/>
    </xf>
    <xf borderId="0" fillId="4" fontId="13" numFmtId="0" xfId="0" applyAlignment="1" applyFont="1">
      <alignment horizontal="center" readingOrder="0" shrinkToFit="0" vertical="center" wrapText="1"/>
    </xf>
    <xf borderId="0" fillId="4" fontId="8" numFmtId="0" xfId="0" applyFont="1"/>
    <xf borderId="0" fillId="0" fontId="14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shrinkToFit="0" vertical="center" wrapText="1"/>
    </xf>
    <xf borderId="0" fillId="5" fontId="14" numFmtId="0" xfId="0" applyAlignment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5" fontId="20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2" numFmtId="0" xfId="0" applyAlignment="1" applyFont="1">
      <alignment vertical="bottom"/>
    </xf>
    <xf borderId="1" fillId="0" fontId="13" numFmtId="165" xfId="0" applyAlignment="1" applyBorder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3" numFmtId="166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/>
    </xf>
    <xf borderId="0" fillId="0" fontId="14" numFmtId="0" xfId="0" applyFont="1"/>
    <xf borderId="0" fillId="0" fontId="9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5" fontId="24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readingOrder="0" vertical="bottom"/>
    </xf>
    <xf borderId="1" fillId="2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6" fontId="22" numFmtId="0" xfId="0" applyAlignment="1" applyBorder="1" applyFill="1" applyFont="1">
      <alignment vertical="bottom"/>
    </xf>
    <xf borderId="1" fillId="0" fontId="22" numFmtId="0" xfId="0" applyAlignment="1" applyBorder="1" applyFont="1">
      <alignment vertical="bottom"/>
    </xf>
    <xf borderId="0" fillId="5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5" fontId="14" numFmtId="0" xfId="0" applyAlignment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0" fillId="0" fontId="25" numFmtId="0" xfId="0" applyAlignment="1" applyFont="1">
      <alignment readingOrder="0"/>
    </xf>
    <xf borderId="0" fillId="0" fontId="25" numFmtId="0" xfId="0" applyFont="1"/>
    <xf borderId="0" fillId="6" fontId="8" numFmtId="0" xfId="0" applyFont="1"/>
    <xf borderId="0" fillId="0" fontId="26" numFmtId="0" xfId="0" applyAlignment="1" applyFont="1">
      <alignment horizontal="center"/>
    </xf>
    <xf borderId="1" fillId="2" fontId="13" numFmtId="0" xfId="0" applyAlignment="1" applyBorder="1" applyFont="1">
      <alignment horizontal="center" readingOrder="0" shrinkToFit="0" vertical="center" wrapText="1"/>
    </xf>
    <xf borderId="0" fillId="0" fontId="27" numFmtId="0" xfId="0" applyAlignment="1" applyFont="1">
      <alignment horizontal="left" readingOrder="0" shrinkToFit="0" wrapText="0"/>
    </xf>
    <xf borderId="0" fillId="0" fontId="27" numFmtId="0" xfId="0" applyAlignment="1" applyFont="1">
      <alignment horizontal="left" readingOrder="0"/>
    </xf>
    <xf borderId="0" fillId="0" fontId="8" numFmtId="0" xfId="0" applyAlignment="1" applyFont="1">
      <alignment horizontal="left" readingOrder="0" shrinkToFit="0" wrapText="1"/>
    </xf>
    <xf borderId="0" fillId="2" fontId="11" numFmtId="0" xfId="0" applyAlignment="1" applyFont="1">
      <alignment shrinkToFit="0" wrapText="1"/>
    </xf>
    <xf borderId="0" fillId="0" fontId="28" numFmtId="20" xfId="0" applyAlignment="1" applyFont="1" applyNumberFormat="1">
      <alignment horizontal="left" readingOrder="0"/>
    </xf>
    <xf borderId="0" fillId="0" fontId="29" numFmtId="0" xfId="0" applyAlignment="1" applyFont="1">
      <alignment horizontal="center" shrinkToFit="0" wrapText="0"/>
    </xf>
    <xf borderId="0" fillId="0" fontId="30" numFmtId="0" xfId="0" applyAlignment="1" applyFont="1">
      <alignment horizontal="right" readingOrder="0" shrinkToFit="0" wrapText="0"/>
    </xf>
    <xf borderId="0" fillId="0" fontId="28" numFmtId="0" xfId="0" applyAlignment="1" applyFont="1">
      <alignment horizontal="center"/>
    </xf>
    <xf borderId="0" fillId="2" fontId="13" numFmtId="0" xfId="0" applyAlignment="1" applyFont="1">
      <alignment horizontal="center" shrinkToFit="0" vertical="center" wrapText="1"/>
    </xf>
    <xf borderId="0" fillId="0" fontId="25" numFmtId="0" xfId="0" applyFont="1"/>
    <xf borderId="0" fillId="0" fontId="31" numFmtId="0" xfId="0" applyAlignment="1" applyFont="1">
      <alignment horizontal="left"/>
    </xf>
    <xf borderId="1" fillId="0" fontId="18" numFmtId="0" xfId="0" applyAlignment="1" applyBorder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E81BD"/>
          <bgColor rgb="FF4E81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Вопрос 3-6-style">
      <tableStyleElement dxfId="1" type="headerRow"/>
      <tableStyleElement dxfId="2" type="firstRowStripe"/>
      <tableStyleElement dxfId="3" type="secondRowStripe"/>
    </tableStyle>
    <tableStyle count="2" pivot="0" name="Вопрос 3-6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8" displayName="Таблица1" name="Таблица1" id="1">
  <tableColumns count="10">
    <tableColumn name="Метрика" id="1"/>
    <tableColumn name="Spec 1 (Headline Infation)" id="2"/>
    <tableColumn name="Spec 2 (Headline Infation)" id="3"/>
    <tableColumn name="Spec 1 (Core inflation)" id="4"/>
    <tableColumn name="Spec 2 (Core inflation)" id="5"/>
    <tableColumn name="Spec 3" id="6"/>
    <tableColumn name="Spec 4" id="7"/>
    <tableColumn name="Spec 5" id="8"/>
    <tableColumn name="Spec 6" id="9"/>
    <tableColumn name="Spec 7" id="10"/>
  </tableColumns>
  <tableStyleInfo name="Вопрос 3-6-style" showColumnStripes="0" showFirstColumn="1" showLastColumn="1" showRowStripes="1"/>
</table>
</file>

<file path=xl/tables/table2.xml><?xml version="1.0" encoding="utf-8"?>
<table xmlns="http://schemas.openxmlformats.org/spreadsheetml/2006/main" headerRowCount="0" ref="B19:J32" displayName="Table_1" name="Table_1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Вопрос 3-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vestopedia.com/terms/a/annualize.asp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tradingeconomics.com/australia/composite-leading-indicator" TargetMode="External"/><Relationship Id="rId2" Type="http://schemas.openxmlformats.org/officeDocument/2006/relationships/hyperlink" Target="https://www.dnb.nl/media/5espb20y/working_paper_no-808.pdf" TargetMode="External"/><Relationship Id="rId3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2.57"/>
    <col customWidth="1" min="2" max="2" width="34.43"/>
    <col customWidth="1" min="3" max="3" width="33.71"/>
    <col customWidth="1" min="4" max="4" width="31.71"/>
    <col customWidth="1" min="5" max="5" width="29.43"/>
    <col customWidth="1" min="6" max="6" width="31.43"/>
    <col customWidth="1" min="7" max="7" width="29.14"/>
  </cols>
  <sheetData>
    <row r="1" ht="30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>
      <c r="A2" s="4">
        <v>31412.0</v>
      </c>
      <c r="B2" s="5">
        <f>'Темп Совокупной Инфляции'!C9</f>
        <v>2.02</v>
      </c>
      <c r="C2" s="5">
        <f>'Инфляционные ожидания'!D8</f>
        <v>0.426</v>
      </c>
      <c r="D2" s="6">
        <f>'Темп роста ВВП'!D11</f>
        <v>0.206</v>
      </c>
      <c r="E2" s="6">
        <f>'Разрыв выпуска'!F15</f>
        <v>0</v>
      </c>
      <c r="F2" s="7">
        <f>'Темп Базовой Инфляции'!D10</f>
        <v>0.086</v>
      </c>
      <c r="G2" s="7">
        <v>100.0174</v>
      </c>
      <c r="H2" s="8"/>
    </row>
    <row r="3">
      <c r="A3" s="4">
        <v>31502.0</v>
      </c>
      <c r="B3" s="5">
        <f>'Темп Совокупной Инфляции'!C10</f>
        <v>2.22</v>
      </c>
      <c r="C3" s="5">
        <f>'Инфляционные ожидания'!D9</f>
        <v>0.318</v>
      </c>
      <c r="D3" s="6">
        <f>'Темп роста ВВП'!D12</f>
        <v>0.165</v>
      </c>
      <c r="E3" s="6">
        <f>'Разрыв выпуска'!F16</f>
        <v>-0.003</v>
      </c>
      <c r="F3" s="7">
        <f>'Темп Базовой Инфляции'!D11</f>
        <v>0.083</v>
      </c>
      <c r="G3" s="7">
        <v>99.5645</v>
      </c>
    </row>
    <row r="4">
      <c r="A4" s="4">
        <v>31593.0</v>
      </c>
      <c r="B4" s="5">
        <f>'Темп Совокупной Инфляции'!C11</f>
        <v>1.69</v>
      </c>
      <c r="C4" s="5">
        <f>'Инфляционные ожидания'!D10</f>
        <v>0</v>
      </c>
      <c r="D4" s="6">
        <f>'Темп роста ВВП'!D13</f>
        <v>0.061</v>
      </c>
      <c r="E4" s="6">
        <f>'Разрыв выпуска'!F17</f>
        <v>-0.014</v>
      </c>
      <c r="F4" s="7">
        <f>'Темп Базовой Инфляции'!D12</f>
        <v>0.08</v>
      </c>
      <c r="G4" s="7">
        <v>98.9463</v>
      </c>
    </row>
    <row r="5">
      <c r="A5" s="4">
        <v>31685.0</v>
      </c>
      <c r="B5" s="5">
        <f>'Темп Совокупной Инфляции'!C12</f>
        <v>2.61</v>
      </c>
      <c r="C5" s="5">
        <f>'Инфляционные ожидания'!D11</f>
        <v>0.373</v>
      </c>
      <c r="D5" s="6">
        <f>'Темп роста ВВП'!D14</f>
        <v>0.02</v>
      </c>
      <c r="E5" s="6">
        <f>'Разрыв выпуска'!F18</f>
        <v>-0.021</v>
      </c>
      <c r="F5" s="7">
        <f>'Темп Базовой Инфляции'!D13</f>
        <v>0.078</v>
      </c>
      <c r="G5" s="7">
        <v>98.8212</v>
      </c>
    </row>
    <row r="6">
      <c r="A6" s="4">
        <v>31777.0</v>
      </c>
      <c r="B6" s="5">
        <f>'Темп Совокупной Инфляции'!C13</f>
        <v>2.78</v>
      </c>
      <c r="C6" s="5">
        <f>'Инфляционные ожидания'!D12</f>
        <v>0.334</v>
      </c>
      <c r="D6" s="6">
        <f>'Темп роста ВВП'!D15</f>
        <v>0.1</v>
      </c>
      <c r="E6" s="6">
        <f>'Разрыв выпуска'!F19</f>
        <v>-0.013</v>
      </c>
      <c r="F6" s="7">
        <f>'Темп Базовой Инфляции'!D14</f>
        <v>0.079</v>
      </c>
      <c r="G6" s="7">
        <v>99.4108</v>
      </c>
    </row>
    <row r="7">
      <c r="A7" s="4">
        <v>31867.0</v>
      </c>
      <c r="B7" s="5">
        <f>'Темп Совокупной Инфляции'!C14</f>
        <v>2.03</v>
      </c>
      <c r="C7" s="5">
        <f>'Инфляционные ожидания'!D13</f>
        <v>0.351</v>
      </c>
      <c r="D7" s="6">
        <f>'Темп роста ВВП'!D16</f>
        <v>0.117</v>
      </c>
      <c r="E7" s="6">
        <f>'Разрыв выпуска'!F20</f>
        <v>-0.013</v>
      </c>
      <c r="F7" s="7">
        <f>'Темп Базовой Инфляции'!D15</f>
        <v>0.075</v>
      </c>
      <c r="G7" s="7">
        <v>100.0709</v>
      </c>
    </row>
    <row r="8">
      <c r="A8" s="4">
        <v>31958.0</v>
      </c>
      <c r="B8" s="5">
        <f>'Темп Совокупной Инфляции'!C15</f>
        <v>1.55</v>
      </c>
      <c r="C8" s="5">
        <f>'Инфляционные ожидания'!D14</f>
        <v>0.338</v>
      </c>
      <c r="D8" s="6">
        <f>'Темп роста ВВП'!D17</f>
        <v>0.197</v>
      </c>
      <c r="E8" s="6">
        <f>'Разрыв выпуска'!F21</f>
        <v>-0.006</v>
      </c>
      <c r="F8" s="7">
        <f>'Темп Базовой Инфляции'!D16</f>
        <v>0.073</v>
      </c>
      <c r="G8" s="7">
        <v>100.8311</v>
      </c>
    </row>
    <row r="9">
      <c r="A9" s="4">
        <v>32050.0</v>
      </c>
      <c r="B9" s="5">
        <f>'Темп Совокупной Инфляции'!C16</f>
        <v>1.74</v>
      </c>
      <c r="C9" s="5">
        <f>'Инфляционные ожидания'!D15</f>
        <v>0.331</v>
      </c>
      <c r="D9" s="6">
        <f>'Темп роста ВВП'!D18</f>
        <v>0.272</v>
      </c>
      <c r="E9" s="6">
        <f>'Разрыв выпуска'!F22</f>
        <v>0.003</v>
      </c>
      <c r="F9" s="7">
        <f>'Темп Базовой Инфляции'!D17</f>
        <v>0.069</v>
      </c>
      <c r="G9" s="7">
        <v>101.2372</v>
      </c>
    </row>
    <row r="10">
      <c r="A10" s="4">
        <v>32142.0</v>
      </c>
      <c r="B10" s="5">
        <f>'Темп Совокупной Инфляции'!C17</f>
        <v>1.71</v>
      </c>
      <c r="C10" s="5">
        <f>'Инфляционные ожидания'!D16</f>
        <v>0.346</v>
      </c>
      <c r="D10" s="6">
        <f>'Темп роста ВВП'!D19</f>
        <v>0.286</v>
      </c>
      <c r="E10" s="6">
        <f>'Разрыв выпуска'!F23</f>
        <v>0.014</v>
      </c>
      <c r="F10" s="7">
        <f>'Темп Базовой Инфляции'!D18</f>
        <v>0.069</v>
      </c>
      <c r="G10" s="7">
        <v>101.0349</v>
      </c>
    </row>
    <row r="11">
      <c r="A11" s="4">
        <v>32233.0</v>
      </c>
      <c r="B11" s="5">
        <f>'Темп Совокупной Инфляции'!C18</f>
        <v>1.68</v>
      </c>
      <c r="C11" s="5">
        <f>'Инфляционные ожидания'!D17</f>
        <v>0.32</v>
      </c>
      <c r="D11" s="6">
        <f>'Темп роста ВВП'!D20</f>
        <v>0.262</v>
      </c>
      <c r="E11" s="6">
        <f>'Разрыв выпуска'!F24</f>
        <v>0.01</v>
      </c>
      <c r="F11" s="7">
        <f>'Темп Базовой Инфляции'!D19</f>
        <v>0.074</v>
      </c>
      <c r="G11" s="7">
        <v>101.2228</v>
      </c>
    </row>
    <row r="12">
      <c r="A12" s="4">
        <v>32324.0</v>
      </c>
      <c r="B12" s="5">
        <f>'Темп Совокупной Инфляции'!C19</f>
        <v>1.86</v>
      </c>
      <c r="C12" s="5">
        <f>'Инфляционные ожидания'!D18</f>
        <v>0.325</v>
      </c>
      <c r="D12" s="6">
        <f>'Темп роста ВВП'!D21</f>
        <v>0.188</v>
      </c>
      <c r="E12" s="6">
        <f>'Разрыв выпуска'!F25</f>
        <v>0.003</v>
      </c>
      <c r="F12" s="7">
        <f>'Темп Базовой Инфляции'!D20</f>
        <v>0.077</v>
      </c>
      <c r="G12" s="7">
        <v>101.7787</v>
      </c>
    </row>
    <row r="13">
      <c r="A13" s="4">
        <v>32416.0</v>
      </c>
      <c r="B13" s="5">
        <f>'Темп Совокупной Инфляции'!C20</f>
        <v>1.83</v>
      </c>
      <c r="C13" s="5">
        <f>'Инфляционные ожидания'!D19</f>
        <v>0.34</v>
      </c>
      <c r="D13" s="6">
        <f>'Темп роста ВВП'!D22</f>
        <v>0.143</v>
      </c>
      <c r="E13" s="6">
        <f>'Разрыв выпуска'!F26</f>
        <v>0.003</v>
      </c>
      <c r="F13" s="7">
        <f>'Темп Базовой Инфляции'!D21</f>
        <v>0.079</v>
      </c>
      <c r="G13" s="7">
        <v>102.2747</v>
      </c>
    </row>
    <row r="14">
      <c r="A14" s="4">
        <v>32508.0</v>
      </c>
      <c r="B14" s="5">
        <f>'Темп Совокупной Инфляции'!C21</f>
        <v>1.99</v>
      </c>
      <c r="C14" s="5">
        <f>'Инфляционные ожидания'!D20</f>
        <v>0.395</v>
      </c>
      <c r="D14" s="6">
        <f>'Темп роста ВВП'!D23</f>
        <v>0.121</v>
      </c>
      <c r="E14" s="6">
        <f>'Разрыв выпуска'!F27</f>
        <v>0.012</v>
      </c>
      <c r="F14" s="7">
        <f>'Темп Базовой Инфляции'!D22</f>
        <v>0.082</v>
      </c>
      <c r="G14" s="7">
        <v>102.0883</v>
      </c>
    </row>
    <row r="15">
      <c r="A15" s="4">
        <v>32598.0</v>
      </c>
      <c r="B15" s="5">
        <f>'Темп Совокупной Инфляции'!C22</f>
        <v>0.98</v>
      </c>
      <c r="C15" s="5">
        <f>'Инфляционные ожидания'!D21</f>
        <v>0.431</v>
      </c>
      <c r="D15" s="6">
        <f>'Темп роста ВВП'!D24</f>
        <v>0.148</v>
      </c>
      <c r="E15" s="6">
        <f>'Разрыв выпуска'!F28</f>
        <v>0.014</v>
      </c>
      <c r="F15" s="7">
        <f>'Темп Базовой Инфляции'!D23</f>
        <v>0.09</v>
      </c>
      <c r="G15" s="7">
        <v>101.3015</v>
      </c>
    </row>
    <row r="16">
      <c r="A16" s="4">
        <v>32689.0</v>
      </c>
      <c r="B16" s="5">
        <f>'Темп Совокупной Инфляции'!C23</f>
        <v>2.51</v>
      </c>
      <c r="C16" s="5">
        <f>'Инфляционные ожидания'!D22</f>
        <v>0.413</v>
      </c>
      <c r="D16" s="6">
        <f>'Темп роста ВВП'!D25</f>
        <v>0.248</v>
      </c>
      <c r="E16" s="6">
        <f>'Разрыв выпуска'!F29</f>
        <v>0.029</v>
      </c>
      <c r="F16" s="7">
        <f>'Темп Базовой Инфляции'!D24</f>
        <v>0.101</v>
      </c>
      <c r="G16" s="7">
        <v>100.588</v>
      </c>
    </row>
    <row r="17">
      <c r="A17" s="4">
        <v>32781.0</v>
      </c>
      <c r="B17" s="5">
        <f>'Темп Совокупной Инфляции'!C24</f>
        <v>2.26</v>
      </c>
      <c r="C17" s="5">
        <f>'Инфляционные ожидания'!D23</f>
        <v>0.398</v>
      </c>
      <c r="D17" s="6">
        <f>'Темп роста ВВП'!D26</f>
        <v>0.244</v>
      </c>
      <c r="E17" s="6">
        <f>'Разрыв выпуска'!F30</f>
        <v>0.031</v>
      </c>
      <c r="F17" s="7">
        <f>'Темп Базовой Инфляции'!D25</f>
        <v>0.107</v>
      </c>
      <c r="G17" s="7">
        <v>100.0392</v>
      </c>
    </row>
    <row r="18">
      <c r="A18" s="4">
        <v>32873.0</v>
      </c>
      <c r="B18" s="5">
        <f>'Темп Совокупной Инфляции'!C25</f>
        <v>1.85</v>
      </c>
      <c r="C18" s="5">
        <f>'Инфляционные ожидания'!D24</f>
        <v>0.363</v>
      </c>
      <c r="D18" s="6">
        <f>'Темп роста ВВП'!D27</f>
        <v>0.156</v>
      </c>
      <c r="E18" s="6">
        <f>'Разрыв выпуска'!F31</f>
        <v>0.022</v>
      </c>
      <c r="F18" s="7">
        <f>'Темп Базовой Инфляции'!D26</f>
        <v>0.111</v>
      </c>
      <c r="G18" s="7">
        <v>99.4613</v>
      </c>
    </row>
    <row r="19">
      <c r="A19" s="4">
        <v>32963.0</v>
      </c>
      <c r="B19" s="5">
        <f>'Темп Совокупной Инфляции'!C26</f>
        <v>1.81</v>
      </c>
      <c r="C19" s="5">
        <f>'Инфляционные ожидания'!D25</f>
        <v>0.352</v>
      </c>
      <c r="D19" s="6">
        <f>'Темп роста ВВП'!D28</f>
        <v>0.148</v>
      </c>
      <c r="E19" s="6">
        <f>'Разрыв выпуска'!F32</f>
        <v>0.024</v>
      </c>
      <c r="F19" s="7">
        <f>'Темп Базовой Инфляции'!D27</f>
        <v>0.118</v>
      </c>
      <c r="G19" s="7">
        <v>98.8079</v>
      </c>
    </row>
    <row r="20">
      <c r="A20" s="4">
        <v>33054.0</v>
      </c>
      <c r="B20" s="5">
        <f>'Темп Совокупной Инфляции'!C27</f>
        <v>1.6</v>
      </c>
      <c r="C20" s="5">
        <f>'Инфляционные ожидания'!D26</f>
        <v>0.361</v>
      </c>
      <c r="D20" s="6">
        <f>'Темп роста ВВП'!D29</f>
        <v>0.061</v>
      </c>
      <c r="E20" s="6">
        <f>'Разрыв выпуска'!F33</f>
        <v>0.02</v>
      </c>
      <c r="F20" s="7">
        <f>'Темп Базовой Инфляции'!D28</f>
        <v>0.123</v>
      </c>
      <c r="G20" s="7">
        <v>98.2066</v>
      </c>
    </row>
    <row r="21">
      <c r="A21" s="4">
        <v>33146.0</v>
      </c>
      <c r="B21" s="5">
        <f>'Темп Совокупной Инфляции'!C28</f>
        <v>0.7</v>
      </c>
      <c r="C21" s="5">
        <f>'Инфляционные ожидания'!D27</f>
        <v>0.368</v>
      </c>
      <c r="D21" s="6">
        <f>'Темп роста ВВП'!D30</f>
        <v>0.004</v>
      </c>
      <c r="E21" s="6">
        <f>'Разрыв выпуска'!F34</f>
        <v>0.009</v>
      </c>
      <c r="F21" s="7">
        <f>'Темп Базовой Инфляции'!D29</f>
        <v>0.129</v>
      </c>
      <c r="G21" s="7">
        <v>97.6223</v>
      </c>
    </row>
    <row r="22">
      <c r="A22" s="4">
        <v>33238.0</v>
      </c>
      <c r="B22" s="5">
        <f>'Темп Совокупной Инфляции'!C29</f>
        <v>2.61</v>
      </c>
      <c r="C22" s="5">
        <f>'Инфляционные ожидания'!D28</f>
        <v>0.285</v>
      </c>
      <c r="D22" s="6">
        <f>'Темп роста ВВП'!D31</f>
        <v>0.041</v>
      </c>
      <c r="E22" s="6">
        <f>'Разрыв выпуска'!F35</f>
        <v>0.008</v>
      </c>
      <c r="F22" s="7">
        <f>'Темп Базовой Инфляции'!D30</f>
        <v>0.137</v>
      </c>
      <c r="G22" s="7">
        <v>97.2761</v>
      </c>
    </row>
    <row r="23">
      <c r="A23" s="4">
        <v>33328.0</v>
      </c>
      <c r="B23" s="5">
        <f>'Темп Совокупной Инфляции'!C30</f>
        <v>-0.17</v>
      </c>
      <c r="C23" s="5">
        <f>'Инфляционные ожидания'!D29</f>
        <v>0.252</v>
      </c>
      <c r="D23" s="6">
        <f>'Темп роста ВВП'!D32</f>
        <v>-0.047</v>
      </c>
      <c r="E23" s="6">
        <f>'Разрыв выпуска'!F36</f>
        <v>-0.01</v>
      </c>
      <c r="F23" s="7">
        <f>'Темп Базовой Инфляции'!D31</f>
        <v>0.141</v>
      </c>
      <c r="G23" s="7">
        <v>97.6874</v>
      </c>
    </row>
    <row r="24">
      <c r="A24" s="4">
        <v>33419.0</v>
      </c>
      <c r="B24" s="5">
        <f>'Темп Совокупной Инфляции'!C31</f>
        <v>0.17</v>
      </c>
      <c r="C24" s="5">
        <f>'Инфляционные ожидания'!D30</f>
        <v>0.237</v>
      </c>
      <c r="D24" s="6">
        <f>'Темп роста ВВП'!D33</f>
        <v>-0.055</v>
      </c>
      <c r="E24" s="6">
        <f>'Разрыв выпуска'!F37</f>
        <v>-0.017</v>
      </c>
      <c r="F24" s="7">
        <f>'Темп Базовой Инфляции'!D32</f>
        <v>0.139</v>
      </c>
      <c r="G24" s="7">
        <v>98.6369</v>
      </c>
    </row>
    <row r="25">
      <c r="A25" s="4">
        <v>33511.0</v>
      </c>
      <c r="B25" s="5">
        <f>'Темп Совокупной Инфляции'!C32</f>
        <v>0.51</v>
      </c>
      <c r="C25" s="5">
        <f>'Инфляционные ожидания'!D31</f>
        <v>0.195</v>
      </c>
      <c r="D25" s="6">
        <f>'Темп роста ВВП'!D34</f>
        <v>-0.016</v>
      </c>
      <c r="E25" s="6">
        <f>'Разрыв выпуска'!F38</f>
        <v>-0.018</v>
      </c>
      <c r="F25" s="7">
        <f>'Темп Базовой Инфляции'!D33</f>
        <v>0.139</v>
      </c>
      <c r="G25" s="7">
        <v>99.3088</v>
      </c>
    </row>
    <row r="26">
      <c r="A26" s="4">
        <v>33603.0</v>
      </c>
      <c r="B26" s="5">
        <f>'Темп Совокупной Инфляции'!C33</f>
        <v>1.01</v>
      </c>
      <c r="C26" s="5">
        <f>'Инфляционные ожидания'!D32</f>
        <v>0.16</v>
      </c>
      <c r="D26" s="6">
        <f>'Темп роста ВВП'!D35</f>
        <v>-0.039</v>
      </c>
      <c r="E26" s="6">
        <f>'Разрыв выпуска'!F39</f>
        <v>-0.023</v>
      </c>
      <c r="F26" s="7">
        <f>'Темп Базовой Инфляции'!D34</f>
        <v>0.135</v>
      </c>
      <c r="G26" s="7">
        <v>99.5449</v>
      </c>
    </row>
    <row r="27">
      <c r="A27" s="4">
        <v>33694.0</v>
      </c>
      <c r="B27" s="5">
        <f>'Темп Совокупной Инфляции'!C34</f>
        <v>0</v>
      </c>
      <c r="C27" s="5">
        <f>'Инфляционные ожидания'!D33</f>
        <v>0.185</v>
      </c>
      <c r="D27" s="6">
        <f>'Темп роста ВВП'!D36</f>
        <v>0.045</v>
      </c>
      <c r="E27" s="6">
        <f>'Разрыв выпуска'!F40</f>
        <v>-0.022</v>
      </c>
      <c r="F27" s="7">
        <f>'Темп Базовой Инфляции'!D35</f>
        <v>0.127</v>
      </c>
      <c r="G27" s="7">
        <v>99.6836</v>
      </c>
    </row>
    <row r="28">
      <c r="A28" s="4">
        <v>33785.0</v>
      </c>
      <c r="B28" s="5">
        <f>'Темп Совокупной Инфляции'!C35</f>
        <v>-0.33</v>
      </c>
      <c r="C28" s="5">
        <f>'Инфляционные ожидания'!D34</f>
        <v>0.159</v>
      </c>
      <c r="D28" s="6">
        <f>'Темп роста ВВП'!D37</f>
        <v>0.082</v>
      </c>
      <c r="E28" s="6">
        <f>'Разрыв выпуска'!F41</f>
        <v>-0.021</v>
      </c>
      <c r="F28" s="7">
        <f>'Темп Базовой Инфляции'!D36</f>
        <v>0.119</v>
      </c>
      <c r="G28" s="7">
        <v>99.9005</v>
      </c>
    </row>
    <row r="29">
      <c r="A29" s="4">
        <v>33877.0</v>
      </c>
      <c r="B29" s="5">
        <f>'Темп Совокупной Инфляции'!C36</f>
        <v>0.17</v>
      </c>
      <c r="C29" s="5">
        <f>'Инфляционные ожидания'!D35</f>
        <v>0.186</v>
      </c>
      <c r="D29" s="6">
        <f>'Темп роста ВВП'!D38</f>
        <v>0.108</v>
      </c>
      <c r="E29" s="6">
        <f>'Разрыв выпуска'!F42</f>
        <v>-0.018</v>
      </c>
      <c r="F29" s="7">
        <f>'Темп Базовой Инфляции'!D37</f>
        <v>0.109</v>
      </c>
      <c r="G29" s="7">
        <v>99.999</v>
      </c>
    </row>
    <row r="30">
      <c r="A30" s="4">
        <v>33969.0</v>
      </c>
      <c r="B30" s="5">
        <f>'Темп Совокупной Инфляции'!C37</f>
        <v>0.5</v>
      </c>
      <c r="C30" s="5">
        <f>'Инфляционные ожидания'!D36</f>
        <v>0.188</v>
      </c>
      <c r="D30" s="6">
        <f>'Темп роста ВВП'!D39</f>
        <v>0.197</v>
      </c>
      <c r="E30" s="6">
        <f>'Разрыв выпуска'!F43</f>
        <v>-0.005</v>
      </c>
      <c r="F30" s="7">
        <f>'Темп Базовой Инфляции'!D38</f>
        <v>0.107</v>
      </c>
      <c r="G30" s="7">
        <v>100.2475</v>
      </c>
    </row>
    <row r="31">
      <c r="A31" s="4">
        <v>34059.0</v>
      </c>
      <c r="B31" s="5">
        <f>'Темп Совокупной Инфляции'!C38</f>
        <v>0.83</v>
      </c>
      <c r="C31" s="5">
        <f>'Инфляционные ожидания'!D37</f>
        <v>0.141</v>
      </c>
      <c r="D31" s="6">
        <f>'Темп роста ВВП'!D40</f>
        <v>0.193</v>
      </c>
      <c r="E31" s="6">
        <f>'Разрыв выпуска'!F44</f>
        <v>-0.005</v>
      </c>
      <c r="F31" s="7">
        <f>'Темп Базовой Инфляции'!D39</f>
        <v>0.108</v>
      </c>
      <c r="G31" s="7">
        <v>100.5922</v>
      </c>
    </row>
    <row r="32">
      <c r="A32" s="4">
        <v>34150.0</v>
      </c>
      <c r="B32" s="5">
        <f>'Темп Совокупной Инфляции'!C39</f>
        <v>0.33</v>
      </c>
      <c r="C32" s="5">
        <f>'Инфляционные ожидания'!D38</f>
        <v>0.139</v>
      </c>
      <c r="D32" s="6">
        <f>'Темп роста ВВП'!D41</f>
        <v>0.188</v>
      </c>
      <c r="E32" s="6">
        <f>'Разрыв выпуска'!F45</f>
        <v>-0.007</v>
      </c>
      <c r="F32" s="7">
        <f>'Темп Базовой Инфляции'!D40</f>
        <v>0.098</v>
      </c>
      <c r="G32" s="7">
        <v>100.8758</v>
      </c>
    </row>
    <row r="33">
      <c r="A33" s="4">
        <v>34242.0</v>
      </c>
      <c r="B33" s="5">
        <f>'Темп Совокупной Инфляции'!C40</f>
        <v>0.49</v>
      </c>
      <c r="C33" s="5">
        <f>'Инфляционные ожидания'!D39</f>
        <v>0.152</v>
      </c>
      <c r="D33" s="6">
        <f>'Темп роста ВВП'!D42</f>
        <v>0.148</v>
      </c>
      <c r="E33" s="6">
        <f>'Разрыв выпуска'!F46</f>
        <v>-0.014</v>
      </c>
      <c r="F33" s="7">
        <f>'Темп Базовой Инфляции'!D41</f>
        <v>0.084</v>
      </c>
      <c r="G33" s="7">
        <v>101.2709</v>
      </c>
    </row>
    <row r="34">
      <c r="A34" s="4">
        <v>34334.0</v>
      </c>
      <c r="B34" s="5">
        <f>'Темп Совокупной Инфляции'!C41</f>
        <v>0.16</v>
      </c>
      <c r="C34" s="5">
        <f>'Инфляционные ожидания'!D40</f>
        <v>0.13</v>
      </c>
      <c r="D34" s="6">
        <f>'Темп роста ВВП'!D43</f>
        <v>0.139</v>
      </c>
      <c r="E34" s="6">
        <f>'Разрыв выпуска'!F47</f>
        <v>-0.004</v>
      </c>
      <c r="F34" s="7">
        <f>'Темп Базовой Инфляции'!D42</f>
        <v>0.076</v>
      </c>
      <c r="G34" s="7">
        <v>101.8904</v>
      </c>
    </row>
    <row r="35">
      <c r="A35" s="4">
        <v>34424.0</v>
      </c>
      <c r="B35" s="5">
        <f>'Темп Совокупной Инфляции'!C42</f>
        <v>0.49</v>
      </c>
      <c r="C35" s="5">
        <f>'Инфляционные ожидания'!D41</f>
        <v>0.151</v>
      </c>
      <c r="D35" s="6">
        <f>'Темп роста ВВП'!D44</f>
        <v>0.179</v>
      </c>
      <c r="E35" s="6">
        <f>'Разрыв выпуска'!F48</f>
        <v>0.003</v>
      </c>
      <c r="F35" s="7">
        <f>'Темп Базовой Инфляции'!D43</f>
        <v>0.064</v>
      </c>
      <c r="G35" s="7">
        <v>102.3509</v>
      </c>
    </row>
    <row r="36">
      <c r="A36" s="4">
        <v>34515.0</v>
      </c>
      <c r="B36" s="5">
        <f>'Темп Совокупной Инфляции'!C43</f>
        <v>0.65</v>
      </c>
      <c r="C36" s="5">
        <f>'Инфляционные ожидания'!D42</f>
        <v>0.198</v>
      </c>
      <c r="D36" s="6">
        <f>'Темп роста ВВП'!D45</f>
        <v>0.211</v>
      </c>
      <c r="E36" s="6">
        <f>'Разрыв выпуска'!F49</f>
        <v>0.006</v>
      </c>
      <c r="F36" s="7">
        <f>'Темп Базовой Инфляции'!D44</f>
        <v>0.059</v>
      </c>
      <c r="G36" s="7">
        <v>102.2281</v>
      </c>
    </row>
    <row r="37">
      <c r="A37" s="4">
        <v>34607.0</v>
      </c>
      <c r="B37" s="5">
        <f>'Темп Совокупной Инфляции'!C44</f>
        <v>0.65</v>
      </c>
      <c r="C37" s="5">
        <f>'Инфляционные ожидания'!D43</f>
        <v>0.208</v>
      </c>
      <c r="D37" s="6">
        <f>'Темп роста ВВП'!D46</f>
        <v>0.239</v>
      </c>
      <c r="E37" s="6">
        <f>'Разрыв выпуска'!F50</f>
        <v>0.005</v>
      </c>
      <c r="F37" s="7">
        <f>'Темп Базовой Инфляции'!D45</f>
        <v>0.054</v>
      </c>
      <c r="G37" s="7">
        <v>101.7971</v>
      </c>
    </row>
    <row r="38">
      <c r="A38" s="4">
        <v>34699.0</v>
      </c>
      <c r="B38" s="5">
        <f>'Темп Совокупной Инфляции'!C45</f>
        <v>0.8</v>
      </c>
      <c r="C38" s="5">
        <f>'Инфляционные ожидания'!D44</f>
        <v>0.191</v>
      </c>
      <c r="D38" s="6">
        <f>'Темп роста ВВП'!D47</f>
        <v>0.202</v>
      </c>
      <c r="E38" s="6">
        <f>'Разрыв выпуска'!F51</f>
        <v>0.007</v>
      </c>
      <c r="F38" s="7">
        <f>'Темп Базовой Инфляции'!D46</f>
        <v>0.053</v>
      </c>
      <c r="G38" s="7">
        <v>100.9191</v>
      </c>
    </row>
    <row r="39">
      <c r="A39" s="4">
        <v>34789.0</v>
      </c>
      <c r="B39" s="5">
        <f>'Темп Совокупной Инфляции'!C46</f>
        <v>1.59</v>
      </c>
      <c r="C39" s="5">
        <f>'Инфляционные ожидания'!D45</f>
        <v>0.18</v>
      </c>
      <c r="D39" s="6">
        <f>'Темп роста ВВП'!D48</f>
        <v>0.13</v>
      </c>
      <c r="E39" s="6">
        <f>'Разрыв выпуска'!F52</f>
        <v>-0.004</v>
      </c>
      <c r="F39" s="7">
        <f>'Темп Базовой Инфляции'!D47</f>
        <v>0.053</v>
      </c>
      <c r="G39" s="7">
        <v>99.8293</v>
      </c>
    </row>
    <row r="40">
      <c r="A40" s="4">
        <v>34880.0</v>
      </c>
      <c r="B40" s="5">
        <f>'Темп Совокупной Инфляции'!C47</f>
        <v>1.41</v>
      </c>
      <c r="C40" s="5">
        <f>'Инфляционные ожидания'!D46</f>
        <v>0.18</v>
      </c>
      <c r="D40" s="6">
        <f>'Темп роста ВВП'!D49</f>
        <v>0.095</v>
      </c>
      <c r="E40" s="6">
        <f>'Разрыв выпуска'!F53</f>
        <v>-0.009</v>
      </c>
      <c r="F40" s="7">
        <f>'Темп Базовой Инфляции'!D48</f>
        <v>0.057</v>
      </c>
      <c r="G40" s="7">
        <v>99.1293</v>
      </c>
    </row>
    <row r="41">
      <c r="A41" s="4">
        <v>34972.0</v>
      </c>
      <c r="B41" s="5">
        <f>'Темп Совокупной Инфляции'!C48</f>
        <v>1.24</v>
      </c>
      <c r="C41" s="5">
        <f>'Инфляционные ожидания'!D47</f>
        <v>0.157</v>
      </c>
      <c r="D41" s="6">
        <f>'Темп роста ВВП'!D50</f>
        <v>0.161</v>
      </c>
      <c r="E41" s="6">
        <f>'Разрыв выпуска'!F54</f>
        <v>0.004</v>
      </c>
      <c r="F41" s="7">
        <f>'Темп Базовой Инфляции'!D49</f>
        <v>0.061</v>
      </c>
      <c r="G41" s="7">
        <v>98.9153</v>
      </c>
    </row>
    <row r="42">
      <c r="A42" s="4">
        <v>35064.0</v>
      </c>
      <c r="B42" s="5">
        <f>'Темп Совокупной Инфляции'!C49</f>
        <v>0.76</v>
      </c>
      <c r="C42" s="5">
        <f>'Инфляционные ожидания'!D48</f>
        <v>0.143</v>
      </c>
      <c r="D42" s="6">
        <f>'Темп роста ВВП'!D51</f>
        <v>0.112</v>
      </c>
      <c r="E42" s="6">
        <f>'Разрыв выпуска'!F55</f>
        <v>-0.006</v>
      </c>
      <c r="F42" s="7">
        <f>'Темп Базовой Инфляции'!D50</f>
        <v>0.056</v>
      </c>
      <c r="G42" s="7">
        <v>98.7805</v>
      </c>
    </row>
    <row r="43">
      <c r="A43" s="4">
        <v>35155.0</v>
      </c>
      <c r="B43" s="5">
        <f>'Темп Совокупной Инфляции'!C50</f>
        <v>0.3</v>
      </c>
      <c r="C43" s="5">
        <f>'Инфляционные ожидания'!D49</f>
        <v>0.162</v>
      </c>
      <c r="D43" s="6">
        <f>'Темп роста ВВП'!D52</f>
        <v>0.188</v>
      </c>
      <c r="E43" s="6">
        <f>'Разрыв выпуска'!F56</f>
        <v>0</v>
      </c>
      <c r="F43" s="7">
        <f>'Темп Базовой Инфляции'!D51</f>
        <v>0.048</v>
      </c>
      <c r="G43" s="7">
        <v>98.8372</v>
      </c>
    </row>
    <row r="44">
      <c r="A44" s="4">
        <v>35246.0</v>
      </c>
      <c r="B44" s="5">
        <f>'Темп Совокупной Инфляции'!C51</f>
        <v>0.76</v>
      </c>
      <c r="C44" s="5">
        <f>'Инфляционные ожидания'!D50</f>
        <v>0.147</v>
      </c>
      <c r="D44" s="6">
        <f>'Темп роста ВВП'!D53</f>
        <v>0.197</v>
      </c>
      <c r="E44" s="6">
        <f>'Разрыв выпуска'!F57</f>
        <v>-0.004</v>
      </c>
      <c r="F44" s="7">
        <f>'Темп Базовой Инфляции'!D52</f>
        <v>0.049</v>
      </c>
      <c r="G44" s="7">
        <v>98.8518</v>
      </c>
    </row>
    <row r="45">
      <c r="A45" s="4">
        <v>35338.0</v>
      </c>
      <c r="B45" s="5">
        <f>'Темп Совокупной Инфляции'!C52</f>
        <v>0.3</v>
      </c>
      <c r="C45" s="5">
        <f>'Инфляционные ожидания'!D51</f>
        <v>0.122</v>
      </c>
      <c r="D45" s="6">
        <f>'Темп роста ВВП'!D54</f>
        <v>0.13</v>
      </c>
      <c r="E45" s="6">
        <f>'Разрыв выпуска'!F58</f>
        <v>-0.006</v>
      </c>
      <c r="F45" s="7">
        <f>'Темп Базовой Инфляции'!D53</f>
        <v>0.063</v>
      </c>
      <c r="G45" s="7">
        <v>98.9646</v>
      </c>
    </row>
    <row r="46">
      <c r="A46" s="4">
        <v>35430.0</v>
      </c>
      <c r="B46" s="5">
        <f>'Темп Совокупной Инфляции'!C53</f>
        <v>0.15</v>
      </c>
      <c r="C46" s="5">
        <f>'Инфляционные ожидания'!D52</f>
        <v>0.122</v>
      </c>
      <c r="D46" s="6">
        <f>'Темп роста ВВП'!D55</f>
        <v>0.17</v>
      </c>
      <c r="E46" s="6">
        <f>'Разрыв выпуска'!F59</f>
        <v>-0.007</v>
      </c>
      <c r="F46" s="7">
        <f>'Темп Базовой Инфляции'!D54</f>
        <v>0.064</v>
      </c>
      <c r="G46" s="7">
        <v>99.242</v>
      </c>
    </row>
    <row r="47">
      <c r="A47" s="4">
        <v>35520.0</v>
      </c>
      <c r="B47" s="5">
        <f>'Темп Совокупной Инфляции'!C54</f>
        <v>0.15</v>
      </c>
      <c r="C47" s="5">
        <f>'Инфляционные ожидания'!D53</f>
        <v>0.136</v>
      </c>
      <c r="D47" s="6">
        <f>'Темп роста ВВП'!D56</f>
        <v>0.126</v>
      </c>
      <c r="E47" s="6">
        <f>'Разрыв выпуска'!F60</f>
        <v>-0.011</v>
      </c>
      <c r="F47" s="7">
        <f>'Темп Базовой Инфляции'!D55</f>
        <v>0.066</v>
      </c>
      <c r="G47" s="7">
        <v>99.5155</v>
      </c>
    </row>
    <row r="48">
      <c r="A48" s="4">
        <v>35611.0</v>
      </c>
      <c r="B48" s="5">
        <f>'Темп Совокупной Инфляции'!C55</f>
        <v>-0.3</v>
      </c>
      <c r="C48" s="5">
        <f>'Инфляционные ожидания'!D54</f>
        <v>0.1</v>
      </c>
      <c r="D48" s="6">
        <f>'Темп роста ВВП'!D57</f>
        <v>0.239</v>
      </c>
      <c r="E48" s="6">
        <f>'Разрыв выпуска'!F61</f>
        <v>0.008</v>
      </c>
      <c r="F48" s="7">
        <f>'Темп Базовой Инфляции'!D56</f>
        <v>0.068</v>
      </c>
      <c r="G48" s="7">
        <v>99.8497</v>
      </c>
    </row>
    <row r="49">
      <c r="A49" s="4">
        <v>35703.0</v>
      </c>
      <c r="B49" s="5">
        <f>'Темп Совокупной Инфляции'!C56</f>
        <v>-0.45</v>
      </c>
      <c r="C49" s="5">
        <f>'Инфляционные ожидания'!D55</f>
        <v>0.077</v>
      </c>
      <c r="D49" s="6">
        <f>'Темп роста ВВП'!D58</f>
        <v>0.206</v>
      </c>
      <c r="E49" s="6">
        <f>'Разрыв выпуска'!F62</f>
        <v>-0.001</v>
      </c>
      <c r="F49" s="7">
        <f>'Темп Базовой Инфляции'!D57</f>
        <v>0.071</v>
      </c>
      <c r="G49" s="7">
        <v>100.2769</v>
      </c>
    </row>
    <row r="50">
      <c r="A50" s="4">
        <v>35795.0</v>
      </c>
      <c r="B50" s="5">
        <f>'Темп Совокупной Инфляции'!C57</f>
        <v>0.3</v>
      </c>
      <c r="C50" s="5">
        <f>'Инфляционные ожидания'!D56</f>
        <v>0.077</v>
      </c>
      <c r="D50" s="6">
        <f>'Темп роста ВВП'!D59</f>
        <v>0.229</v>
      </c>
      <c r="E50" s="6">
        <f>'Разрыв выпуска'!F63</f>
        <v>0.003</v>
      </c>
      <c r="F50" s="7">
        <f>'Темп Базовой Инфляции'!D58</f>
        <v>0.077</v>
      </c>
      <c r="G50" s="7">
        <v>100.409</v>
      </c>
    </row>
    <row r="51">
      <c r="A51" s="4">
        <v>35885.0</v>
      </c>
      <c r="B51" s="5">
        <f>'Темп Совокупной Инфляции'!C58</f>
        <v>0.3</v>
      </c>
      <c r="C51" s="5">
        <f>'Инфляционные ожидания'!D57</f>
        <v>0.081</v>
      </c>
      <c r="D51" s="6">
        <f>'Темп роста ВВП'!D60</f>
        <v>0.229</v>
      </c>
      <c r="E51" s="6">
        <f>'Разрыв выпуска'!F64</f>
        <v>-0.001</v>
      </c>
      <c r="F51" s="7">
        <f>'Темп Базовой Инфляции'!D59</f>
        <v>0.084</v>
      </c>
      <c r="G51" s="7">
        <v>100.169</v>
      </c>
    </row>
    <row r="52">
      <c r="A52" s="4">
        <v>35976.0</v>
      </c>
      <c r="B52" s="5">
        <f>'Темп Совокупной Инфляции'!C59</f>
        <v>0.6</v>
      </c>
      <c r="C52" s="5">
        <f>'Инфляционные ожидания'!D58</f>
        <v>0.086</v>
      </c>
      <c r="D52" s="6">
        <f>'Темп роста ВВП'!D61</f>
        <v>0.139</v>
      </c>
      <c r="E52" s="6">
        <f>'Разрыв выпуска'!F65</f>
        <v>-0.001</v>
      </c>
      <c r="F52" s="7">
        <f>'Темп Базовой Инфляции'!D60</f>
        <v>0.085</v>
      </c>
      <c r="G52" s="7">
        <v>99.7406</v>
      </c>
    </row>
    <row r="53">
      <c r="A53" s="4">
        <v>36068.0</v>
      </c>
      <c r="B53" s="5">
        <f>'Темп Совокупной Инфляции'!C60</f>
        <v>0.15</v>
      </c>
      <c r="C53" s="5">
        <f>'Инфляционные ожидания'!D59</f>
        <v>0.074</v>
      </c>
      <c r="D53" s="6">
        <f>'Темп роста ВВП'!D62</f>
        <v>0.22</v>
      </c>
      <c r="E53" s="6">
        <f>'Разрыв выпуска'!F66</f>
        <v>0.007</v>
      </c>
      <c r="F53" s="7">
        <f>'Темп Базовой Инфляции'!D61</f>
        <v>0.094</v>
      </c>
      <c r="G53" s="7">
        <v>99.6527</v>
      </c>
    </row>
    <row r="54">
      <c r="A54" s="4">
        <v>36160.0</v>
      </c>
      <c r="B54" s="5">
        <f>'Темп Совокупной Инфляции'!C61</f>
        <v>0.44</v>
      </c>
      <c r="C54" s="5">
        <f>'Инфляционные ожидания'!D60</f>
        <v>0.068</v>
      </c>
      <c r="D54" s="6">
        <f>'Темп роста ВВП'!D63</f>
        <v>0.225</v>
      </c>
      <c r="E54" s="6">
        <f>'Разрыв выпуска'!F67</f>
        <v>0.013</v>
      </c>
      <c r="F54" s="7">
        <f>'Темп Базовой Инфляции'!D62</f>
        <v>0.11</v>
      </c>
      <c r="G54" s="7">
        <v>100.055</v>
      </c>
    </row>
    <row r="55">
      <c r="A55" s="4">
        <v>36250.0</v>
      </c>
      <c r="B55" s="5">
        <f>'Темп Совокупной Инфляции'!C62</f>
        <v>0</v>
      </c>
      <c r="C55" s="5">
        <f>'Инфляционные ожидания'!D61</f>
        <v>0.08</v>
      </c>
      <c r="D55" s="6">
        <f>'Темп роста ВВП'!D64</f>
        <v>0.229</v>
      </c>
      <c r="E55" s="6">
        <f>'Разрыв выпуска'!F68</f>
        <v>0.011</v>
      </c>
      <c r="F55" s="7">
        <f>'Темп Базовой Инфляции'!D63</f>
        <v>0.119</v>
      </c>
      <c r="G55" s="7">
        <v>100.4481</v>
      </c>
    </row>
    <row r="56">
      <c r="A56" s="4">
        <v>36341.0</v>
      </c>
      <c r="B56" s="5">
        <f>'Темп Совокупной Инфляции'!C63</f>
        <v>0.44</v>
      </c>
      <c r="C56" s="5">
        <f>'Инфляционные ожидания'!D62</f>
        <v>0.11</v>
      </c>
      <c r="D56" s="6">
        <f>'Темп роста ВВП'!D65</f>
        <v>0.197</v>
      </c>
      <c r="E56" s="6">
        <f>'Разрыв выпуска'!F69</f>
        <v>0.005</v>
      </c>
      <c r="F56" s="7">
        <f>'Темп Базовой Инфляции'!D64</f>
        <v>0.12</v>
      </c>
      <c r="G56" s="7">
        <v>100.6811</v>
      </c>
    </row>
    <row r="57">
      <c r="A57" s="4">
        <v>36433.0</v>
      </c>
      <c r="B57" s="5">
        <f>'Темп Совокупной Инфляции'!C64</f>
        <v>0.88</v>
      </c>
      <c r="C57" s="5">
        <f>'Инфляционные ожидания'!D63</f>
        <v>0.122</v>
      </c>
      <c r="D57" s="6">
        <f>'Темп роста ВВП'!D66</f>
        <v>0.161</v>
      </c>
      <c r="E57" s="6">
        <f>'Разрыв выпуска'!F70</f>
        <v>0.006</v>
      </c>
      <c r="F57" s="7">
        <f>'Темп Базовой Инфляции'!D65</f>
        <v>0.115</v>
      </c>
      <c r="G57" s="7">
        <v>100.7958</v>
      </c>
    </row>
    <row r="58">
      <c r="A58" s="4">
        <v>36525.0</v>
      </c>
      <c r="B58" s="5">
        <f>'Темп Совокупной Инфляции'!C65</f>
        <v>0.58</v>
      </c>
      <c r="C58" s="5">
        <f>'Инфляционные ожидания'!D64</f>
        <v>0.144</v>
      </c>
      <c r="D58" s="6">
        <f>'Темп роста ВВП'!D67</f>
        <v>0.17</v>
      </c>
      <c r="E58" s="6">
        <f>'Разрыв выпуска'!F71</f>
        <v>0.014</v>
      </c>
      <c r="F58" s="7">
        <f>'Темп Базовой Инфляции'!D66</f>
        <v>0.12</v>
      </c>
      <c r="G58" s="7">
        <v>100.754</v>
      </c>
    </row>
    <row r="59">
      <c r="A59" s="4">
        <v>36616.0</v>
      </c>
      <c r="B59" s="5">
        <f>'Темп Совокупной Инфляции'!C66</f>
        <v>0.87</v>
      </c>
      <c r="C59" s="5">
        <f>'Инфляционные ожидания'!D65</f>
        <v>0.119</v>
      </c>
      <c r="D59" s="6">
        <f>'Темп роста ВВП'!D68</f>
        <v>0.152</v>
      </c>
      <c r="E59" s="6">
        <f>'Разрыв выпуска'!F72</f>
        <v>0.009</v>
      </c>
      <c r="F59" s="7">
        <f>'Темп Базовой Инфляции'!D67</f>
        <v>0.126</v>
      </c>
      <c r="G59" s="7">
        <v>100.4176</v>
      </c>
    </row>
    <row r="60">
      <c r="A60" s="4">
        <v>36707.0</v>
      </c>
      <c r="B60" s="5">
        <f>'Темп Совокупной Инфляции'!C67</f>
        <v>0.72</v>
      </c>
      <c r="C60" s="5">
        <f>'Инфляционные ожидания'!D66</f>
        <v>0.122</v>
      </c>
      <c r="D60" s="6">
        <f>'Темп роста ВВП'!D69</f>
        <v>0.179</v>
      </c>
      <c r="E60" s="6">
        <f>'Разрыв выпуска'!F73</f>
        <v>0.009</v>
      </c>
      <c r="F60" s="7">
        <f>'Темп Базовой Инфляции'!D68</f>
        <v>0.129</v>
      </c>
      <c r="G60" s="7">
        <v>99.7729</v>
      </c>
    </row>
    <row r="61">
      <c r="A61" s="4">
        <v>36799.0</v>
      </c>
      <c r="B61" s="5">
        <f>'Темп Совокупной Инфляции'!C68</f>
        <v>3.85</v>
      </c>
      <c r="C61" s="5">
        <f>'Инфляционные ожидания'!D67</f>
        <v>0.121</v>
      </c>
      <c r="D61" s="6">
        <f>'Темп роста ВВП'!D70</f>
        <v>0.139</v>
      </c>
      <c r="E61" s="6">
        <f>'Разрыв выпуска'!F74</f>
        <v>0.003</v>
      </c>
      <c r="F61" s="7">
        <f>'Темп Базовой Инфляции'!D69</f>
        <v>0.134</v>
      </c>
      <c r="G61" s="7">
        <v>99.2573</v>
      </c>
    </row>
    <row r="62">
      <c r="A62" s="4">
        <v>36891.0</v>
      </c>
      <c r="B62" s="5">
        <f>'Темп Совокупной Инфляции'!C69</f>
        <v>0.27</v>
      </c>
      <c r="C62" s="5">
        <f>'Инфляционные ожидания'!D68</f>
        <v>0.094</v>
      </c>
      <c r="D62" s="6">
        <f>'Темп роста ВВП'!D71</f>
        <v>0.049</v>
      </c>
      <c r="E62" s="6">
        <f>'Разрыв выпуска'!F75</f>
        <v>-0.009</v>
      </c>
      <c r="F62" s="7">
        <f>'Темп Базовой Инфляции'!D70</f>
        <v>0.14</v>
      </c>
      <c r="G62" s="7">
        <v>98.9208</v>
      </c>
    </row>
    <row r="63">
      <c r="A63" s="4">
        <v>36981.0</v>
      </c>
      <c r="B63" s="5">
        <f>'Темп Совокупной Инфляции'!C70</f>
        <v>1.09</v>
      </c>
      <c r="C63" s="5">
        <f>'Инфляционные ожидания'!D69</f>
        <v>0.084</v>
      </c>
      <c r="D63" s="6">
        <f>'Темп роста ВВП'!D72</f>
        <v>0.074</v>
      </c>
      <c r="E63" s="6">
        <f>'Разрыв выпуска'!F76</f>
        <v>-0.009</v>
      </c>
      <c r="F63" s="7">
        <f>'Темп Базовой Инфляции'!D71</f>
        <v>0.139</v>
      </c>
      <c r="G63" s="7">
        <v>99.1545</v>
      </c>
    </row>
    <row r="64">
      <c r="A64" s="4">
        <v>37072.0</v>
      </c>
      <c r="B64" s="5">
        <f>'Темп Совокупной Инфляции'!C71</f>
        <v>0.81</v>
      </c>
      <c r="C64" s="5">
        <f>'Инфляционные ожидания'!D70</f>
        <v>0.107</v>
      </c>
      <c r="D64" s="6">
        <f>'Темп роста ВВП'!D73</f>
        <v>0.074</v>
      </c>
      <c r="E64" s="6">
        <f>'Разрыв выпуска'!F77</f>
        <v>-0.009</v>
      </c>
      <c r="F64" s="7">
        <f>'Темп Базовой Инфляции'!D72</f>
        <v>0.133</v>
      </c>
      <c r="G64" s="7">
        <v>99.8982</v>
      </c>
    </row>
    <row r="65">
      <c r="A65" s="4">
        <v>37164.0</v>
      </c>
      <c r="B65" s="5">
        <f>'Темп Совокупной Инфляции'!C72</f>
        <v>0.27</v>
      </c>
      <c r="C65" s="5">
        <f>'Инфляционные ожидания'!D71</f>
        <v>0.09</v>
      </c>
      <c r="D65" s="6">
        <f>'Темп роста ВВП'!D74</f>
        <v>0.108</v>
      </c>
      <c r="E65" s="6">
        <f>'Разрыв выпуска'!F78</f>
        <v>-0.006</v>
      </c>
      <c r="F65" s="7">
        <f>'Темп Базовой Инфляции'!D73</f>
        <v>0.136</v>
      </c>
      <c r="G65" s="7">
        <v>100.4158</v>
      </c>
    </row>
    <row r="66">
      <c r="A66" s="4">
        <v>37256.0</v>
      </c>
      <c r="B66" s="5">
        <f>'Темп Совокупной Инфляции'!C73</f>
        <v>0.94</v>
      </c>
      <c r="C66" s="5">
        <f>'Инфляционные ожидания'!D72</f>
        <v>0.105</v>
      </c>
      <c r="D66" s="6">
        <f>'Темп роста ВВП'!D75</f>
        <v>0.183</v>
      </c>
      <c r="E66" s="6">
        <f>'Разрыв выпуска'!F79</f>
        <v>-0.003</v>
      </c>
      <c r="F66" s="7">
        <f>'Темп Базовой Инфляции'!D74</f>
        <v>0.131</v>
      </c>
      <c r="G66" s="7">
        <v>100.7433</v>
      </c>
    </row>
    <row r="67">
      <c r="A67" s="4">
        <v>37346.0</v>
      </c>
      <c r="B67" s="5">
        <f>'Темп Совокупной Инфляции'!C74</f>
        <v>0.93</v>
      </c>
      <c r="C67" s="5">
        <f>'Инфляционные ожидания'!D73</f>
        <v>0.118</v>
      </c>
      <c r="D67" s="6">
        <f>'Темп роста ВВП'!D76</f>
        <v>0.17</v>
      </c>
      <c r="E67" s="6">
        <f>'Разрыв выпуска'!F80</f>
        <v>-0.003</v>
      </c>
      <c r="F67" s="7">
        <f>'Темп Базовой Инфляции'!D75</f>
        <v>0.128</v>
      </c>
      <c r="G67" s="7">
        <v>100.925</v>
      </c>
    </row>
    <row r="68">
      <c r="A68" s="4">
        <v>37437.0</v>
      </c>
      <c r="B68" s="5">
        <f>'Темп Совокупной Инфляции'!C75</f>
        <v>0.66</v>
      </c>
      <c r="C68" s="5">
        <f>'Инфляционные ожидания'!D74</f>
        <v>0.11</v>
      </c>
      <c r="D68" s="6">
        <f>'Темп роста ВВП'!D77</f>
        <v>0.211</v>
      </c>
      <c r="E68" s="6">
        <f>'Разрыв выпуска'!F81</f>
        <v>0.005</v>
      </c>
      <c r="F68" s="7">
        <f>'Темп Базовой Инфляции'!D76</f>
        <v>0.127</v>
      </c>
      <c r="G68" s="7">
        <v>100.7014</v>
      </c>
    </row>
    <row r="69">
      <c r="A69" s="4">
        <v>37529.0</v>
      </c>
      <c r="B69" s="5">
        <f>'Темп Совокупной Инфляции'!C76</f>
        <v>0.65</v>
      </c>
      <c r="C69" s="5">
        <f>'Инфляционные ожидания'!D75</f>
        <v>0.086</v>
      </c>
      <c r="D69" s="6">
        <f>'Темп роста ВВП'!D78</f>
        <v>0.17</v>
      </c>
      <c r="E69" s="6">
        <f>'Разрыв выпуска'!F82</f>
        <v>-0.001</v>
      </c>
      <c r="F69" s="7">
        <f>'Темп Базовой Инфляции'!D77</f>
        <v>0.128</v>
      </c>
      <c r="G69" s="7">
        <v>100.2315</v>
      </c>
    </row>
    <row r="70">
      <c r="A70" s="4">
        <v>37621.0</v>
      </c>
      <c r="B70" s="5">
        <f>'Темп Совокупной Инфляции'!C77</f>
        <v>0.65</v>
      </c>
      <c r="C70" s="5">
        <f>'Инфляционные ожидания'!D76</f>
        <v>0.082</v>
      </c>
      <c r="D70" s="6">
        <f>'Темп роста ВВП'!D79</f>
        <v>0.152</v>
      </c>
      <c r="E70" s="6">
        <f>'Разрыв выпуска'!F83</f>
        <v>-0.001</v>
      </c>
      <c r="F70" s="7">
        <f>'Темп Базовой Инфляции'!D78</f>
        <v>0.128</v>
      </c>
      <c r="G70" s="7">
        <v>100.0774</v>
      </c>
    </row>
    <row r="71">
      <c r="A71" s="4">
        <v>37711.0</v>
      </c>
      <c r="B71" s="5">
        <f>'Темп Совокупной Инфляции'!C78</f>
        <v>1.29</v>
      </c>
      <c r="C71" s="5">
        <f>'Инфляционные ожидания'!D77</f>
        <v>0.09</v>
      </c>
      <c r="D71" s="6">
        <f>'Темп роста ВВП'!D80</f>
        <v>0.126</v>
      </c>
      <c r="E71" s="6">
        <f>'Разрыв выпуска'!F84</f>
        <v>-0.007</v>
      </c>
      <c r="F71" s="7">
        <f>'Темп Базовой Инфляции'!D79</f>
        <v>0.129</v>
      </c>
      <c r="G71" s="7">
        <v>100.0003</v>
      </c>
    </row>
    <row r="72">
      <c r="A72" s="4">
        <v>37802.0</v>
      </c>
      <c r="B72" s="5">
        <f>'Темп Совокупной Инфляции'!C79</f>
        <v>0</v>
      </c>
      <c r="C72" s="5">
        <f>'Инфляционные ожидания'!D78</f>
        <v>0.089</v>
      </c>
      <c r="D72" s="6">
        <f>'Темп роста ВВП'!D81</f>
        <v>0.07</v>
      </c>
      <c r="E72" s="6">
        <f>'Разрыв выпуска'!F85</f>
        <v>-0.011</v>
      </c>
      <c r="F72" s="7">
        <f>'Темп Базовой Инфляции'!D80</f>
        <v>0.127</v>
      </c>
      <c r="G72" s="7">
        <v>99.8193</v>
      </c>
    </row>
    <row r="73">
      <c r="A73" s="4">
        <v>37894.0</v>
      </c>
      <c r="B73" s="5">
        <f>'Темп Совокупной Инфляции'!C80</f>
        <v>0.64</v>
      </c>
      <c r="C73" s="5">
        <f>'Инфляционные ожидания'!D79</f>
        <v>0.087</v>
      </c>
      <c r="D73" s="6">
        <f>'Темп роста ВВП'!D82</f>
        <v>0.134</v>
      </c>
      <c r="E73" s="6">
        <f>'Разрыв выпуска'!F86</f>
        <v>-0.003</v>
      </c>
      <c r="F73" s="7">
        <f>'Темп Базовой Инфляции'!D81</f>
        <v>0.123</v>
      </c>
      <c r="G73" s="7">
        <v>99.796</v>
      </c>
    </row>
    <row r="74">
      <c r="A74" s="4">
        <v>37986.0</v>
      </c>
      <c r="B74" s="5">
        <f>'Темп Совокупной Инфляции'!C81</f>
        <v>0.51</v>
      </c>
      <c r="C74" s="5">
        <f>'Инфляционные ожидания'!D80</f>
        <v>0.09</v>
      </c>
      <c r="D74" s="6">
        <f>'Темп роста ВВП'!D83</f>
        <v>0.174</v>
      </c>
      <c r="E74" s="6">
        <f>'Разрыв выпуска'!F87</f>
        <v>0.006</v>
      </c>
      <c r="F74" s="7">
        <f>'Темп Базовой Инфляции'!D82</f>
        <v>0.118</v>
      </c>
      <c r="G74" s="7">
        <v>99.7955</v>
      </c>
    </row>
    <row r="75">
      <c r="A75" s="4">
        <v>38077.0</v>
      </c>
      <c r="B75" s="5">
        <f>'Темп Совокупной Инфляции'!C82</f>
        <v>0.88</v>
      </c>
      <c r="C75" s="5">
        <f>'Инфляционные ожидания'!D81</f>
        <v>0.1</v>
      </c>
      <c r="D75" s="6">
        <f>'Темп роста ВВП'!D84</f>
        <v>0.202</v>
      </c>
      <c r="E75" s="6">
        <f>'Разрыв выпуска'!F88</f>
        <v>0.004</v>
      </c>
      <c r="F75" s="7">
        <f>'Темп Базовой Инфляции'!D83</f>
        <v>0.121</v>
      </c>
      <c r="G75" s="7">
        <v>99.7975</v>
      </c>
    </row>
    <row r="76">
      <c r="A76" s="4">
        <v>38168.0</v>
      </c>
      <c r="B76" s="5">
        <f>'Темп Совокупной Инфляции'!C83</f>
        <v>0.5</v>
      </c>
      <c r="C76" s="5">
        <f>'Инфляционные ожидания'!D82</f>
        <v>0.111</v>
      </c>
      <c r="D76" s="6">
        <f>'Темп роста ВВП'!D85</f>
        <v>0.211</v>
      </c>
      <c r="E76" s="6">
        <f>'Разрыв выпуска'!F89</f>
        <v>0.003</v>
      </c>
      <c r="F76" s="7">
        <f>'Темп Базовой Инфляции'!D84</f>
        <v>0.12</v>
      </c>
      <c r="G76" s="7">
        <v>99.8772</v>
      </c>
    </row>
    <row r="77">
      <c r="A77" s="4">
        <v>38260.0</v>
      </c>
      <c r="B77" s="5">
        <f>'Темп Совокупной Инфляции'!C84</f>
        <v>0.37</v>
      </c>
      <c r="C77" s="5">
        <f>'Инфляционные ожидания'!D83</f>
        <v>0.113</v>
      </c>
      <c r="D77" s="6">
        <f>'Темп роста ВВП'!D86</f>
        <v>0.165</v>
      </c>
      <c r="E77" s="6">
        <f>'Разрыв выпуска'!F90</f>
        <v>0.002</v>
      </c>
      <c r="F77" s="7">
        <f>'Темп Базовой Инфляции'!D85</f>
        <v>0.113</v>
      </c>
      <c r="G77" s="7">
        <v>99.9875</v>
      </c>
    </row>
    <row r="78">
      <c r="A78" s="4">
        <v>38352.0</v>
      </c>
      <c r="B78" s="5">
        <f>'Темп Совокупной Инфляции'!C85</f>
        <v>0.74</v>
      </c>
      <c r="C78" s="5">
        <f>'Инфляционные ожидания'!D84</f>
        <v>0.109</v>
      </c>
      <c r="D78" s="6">
        <f>'Темп роста ВВП'!D87</f>
        <v>0.126</v>
      </c>
      <c r="E78" s="6">
        <f>'Разрыв выпуска'!F91</f>
        <v>0.001</v>
      </c>
      <c r="F78" s="7">
        <f>'Темп Базовой Инфляции'!D86</f>
        <v>0.115</v>
      </c>
      <c r="G78" s="7">
        <v>100.1161</v>
      </c>
    </row>
    <row r="79">
      <c r="A79" s="4">
        <v>38442.0</v>
      </c>
      <c r="B79" s="5">
        <f>'Темп Совокупной Инфляции'!C86</f>
        <v>0.74</v>
      </c>
      <c r="C79" s="5">
        <f>'Инфляционные ожидания'!D85</f>
        <v>0.121</v>
      </c>
      <c r="D79" s="6">
        <f>'Темп роста ВВП'!D88</f>
        <v>0.126</v>
      </c>
      <c r="E79" s="6">
        <f>'Разрыв выпуска'!F92</f>
        <v>0.001</v>
      </c>
      <c r="F79" s="7">
        <f>'Темп Базовой Инфляции'!D87</f>
        <v>0.112</v>
      </c>
      <c r="G79" s="7">
        <v>99.9905</v>
      </c>
    </row>
    <row r="80">
      <c r="A80" s="4">
        <v>38533.0</v>
      </c>
      <c r="B80" s="5">
        <f>'Темп Совокупной Инфляции'!C87</f>
        <v>0.61</v>
      </c>
      <c r="C80" s="5">
        <f>'Инфляционные ожидания'!D86</f>
        <v>0.105</v>
      </c>
      <c r="D80" s="6">
        <f>'Темп роста ВВП'!D89</f>
        <v>0.117</v>
      </c>
      <c r="E80" s="6">
        <f>'Разрыв выпуска'!F93</f>
        <v>-0.002</v>
      </c>
      <c r="F80" s="7">
        <f>'Темп Базовой Инфляции'!D88</f>
        <v>0.111</v>
      </c>
      <c r="G80" s="7">
        <v>99.8737</v>
      </c>
    </row>
    <row r="81">
      <c r="A81" s="4">
        <v>38625.0</v>
      </c>
      <c r="B81" s="5">
        <f>'Темп Совокупной Инфляции'!C88</f>
        <v>0.97</v>
      </c>
      <c r="C81" s="5">
        <f>'Инфляционные ожидания'!D87</f>
        <v>0.118</v>
      </c>
      <c r="D81" s="6">
        <f>'Темп роста ВВП'!D90</f>
        <v>0.13</v>
      </c>
      <c r="E81" s="6">
        <f>'Разрыв выпуска'!F94</f>
        <v>0.001</v>
      </c>
      <c r="F81" s="7">
        <f>'Темп Базовой Инфляции'!D89</f>
        <v>0.107</v>
      </c>
      <c r="G81" s="7">
        <v>99.8124</v>
      </c>
    </row>
    <row r="82">
      <c r="A82" s="4">
        <v>38717.0</v>
      </c>
      <c r="B82" s="5">
        <f>'Темп Совокупной Инфляции'!C89</f>
        <v>0.48</v>
      </c>
      <c r="C82" s="5">
        <f>'Инфляционные ожидания'!D88</f>
        <v>0.126</v>
      </c>
      <c r="D82" s="6">
        <f>'Темп роста ВВП'!D91</f>
        <v>0.134</v>
      </c>
      <c r="E82" s="6">
        <f>'Разрыв выпуска'!F95</f>
        <v>0.001</v>
      </c>
      <c r="F82" s="7">
        <f>'Темп Базовой Инфляции'!D90</f>
        <v>0.112</v>
      </c>
      <c r="G82" s="7">
        <v>99.8567</v>
      </c>
    </row>
    <row r="83">
      <c r="A83" s="4">
        <v>38807.0</v>
      </c>
      <c r="B83" s="5">
        <f>'Темп Совокупной Инфляции'!C90</f>
        <v>0.84</v>
      </c>
      <c r="C83" s="5">
        <f>'Инфляционные ожидания'!D89</f>
        <v>0.133</v>
      </c>
      <c r="D83" s="6">
        <f>'Темп роста ВВП'!D92</f>
        <v>0.104</v>
      </c>
      <c r="E83" s="6">
        <f>'Разрыв выпуска'!F96</f>
        <v>-0.006</v>
      </c>
      <c r="F83" s="7">
        <f>'Темп Базовой Инфляции'!D91</f>
        <v>0.123</v>
      </c>
      <c r="G83" s="7">
        <v>99.8544</v>
      </c>
    </row>
    <row r="84">
      <c r="A84" s="4">
        <v>38898.0</v>
      </c>
      <c r="B84" s="5">
        <f>'Темп Совокупной Инфляции'!C91</f>
        <v>1.66</v>
      </c>
      <c r="C84" s="5">
        <f>'Инфляционные ожидания'!D90</f>
        <v>0.139</v>
      </c>
      <c r="D84" s="6">
        <f>'Темп роста ВВП'!D93</f>
        <v>0.091</v>
      </c>
      <c r="E84" s="6">
        <f>'Разрыв выпуска'!F97</f>
        <v>-0.011</v>
      </c>
      <c r="F84" s="7">
        <f>'Темп Базовой Инфляции'!D92</f>
        <v>0.128</v>
      </c>
      <c r="G84" s="7">
        <v>99.912</v>
      </c>
    </row>
    <row r="85">
      <c r="A85" s="4">
        <v>38990.0</v>
      </c>
      <c r="B85" s="5">
        <f>'Темп Совокупной Инфляции'!C92</f>
        <v>0.93</v>
      </c>
      <c r="C85" s="5">
        <f>'Инфляционные ожидания'!D91</f>
        <v>0.138</v>
      </c>
      <c r="D85" s="6">
        <f>'Темп роста ВВП'!D94</f>
        <v>0.112</v>
      </c>
      <c r="E85" s="6">
        <f>'Разрыв выпуска'!F98</f>
        <v>-0.004</v>
      </c>
      <c r="F85" s="7">
        <f>'Темп Базовой Инфляции'!D93</f>
        <v>0.129</v>
      </c>
      <c r="G85" s="7">
        <v>100.3379</v>
      </c>
    </row>
    <row r="86">
      <c r="A86" s="4">
        <v>39082.0</v>
      </c>
      <c r="B86" s="5">
        <f>'Темп Совокупной Инфляции'!C93</f>
        <v>-0.12</v>
      </c>
      <c r="C86" s="5">
        <f>'Инфляционные ожидания'!D92</f>
        <v>0.133</v>
      </c>
      <c r="D86" s="6">
        <f>'Темп роста ВВП'!D95</f>
        <v>0.13</v>
      </c>
      <c r="E86" s="6">
        <f>'Разрыв выпуска'!F99</f>
        <v>0.001</v>
      </c>
      <c r="F86" s="7">
        <f>'Темп Базовой Инфляции'!D94</f>
        <v>0.126</v>
      </c>
      <c r="G86" s="7">
        <v>100.7036</v>
      </c>
    </row>
    <row r="87">
      <c r="A87" s="4">
        <v>39172.0</v>
      </c>
      <c r="B87" s="5">
        <f>'Темп Совокупной Инфляции'!C94</f>
        <v>0</v>
      </c>
      <c r="C87" s="5">
        <f>'Инфляционные ожидания'!D93</f>
        <v>0.137</v>
      </c>
      <c r="D87" s="6">
        <f>'Темп роста ВВП'!D96</f>
        <v>0.188</v>
      </c>
      <c r="E87" s="6">
        <f>'Разрыв выпуска'!F100</f>
        <v>0.007</v>
      </c>
      <c r="F87" s="7">
        <f>'Темп Базовой Инфляции'!D95</f>
        <v>0.125</v>
      </c>
      <c r="G87" s="7">
        <v>100.8206</v>
      </c>
    </row>
    <row r="88">
      <c r="A88" s="4">
        <v>39263.0</v>
      </c>
      <c r="B88" s="5">
        <f>'Темп Совокупной Инфляции'!C95</f>
        <v>1.27</v>
      </c>
      <c r="C88" s="5">
        <f>'Инфляционные ожидания'!D94</f>
        <v>0.144</v>
      </c>
      <c r="D88" s="6">
        <f>'Темп роста ВВП'!D97</f>
        <v>0.211</v>
      </c>
      <c r="E88" s="6">
        <f>'Разрыв выпуска'!F101</f>
        <v>0.006</v>
      </c>
      <c r="F88" s="7">
        <f>'Темп Базовой Инфляции'!D96</f>
        <v>0.128</v>
      </c>
      <c r="G88" s="7">
        <v>100.8743</v>
      </c>
    </row>
    <row r="89">
      <c r="A89" s="4">
        <v>39355.0</v>
      </c>
      <c r="B89" s="5">
        <f>'Темп Совокупной Инфляции'!C96</f>
        <v>0.68</v>
      </c>
      <c r="C89" s="5">
        <f>'Инфляционные ожидания'!D95</f>
        <v>0.146</v>
      </c>
      <c r="D89" s="6">
        <f>'Темп роста ВВП'!D98</f>
        <v>0.193</v>
      </c>
      <c r="E89" s="6">
        <f>'Разрыв выпуска'!F102</f>
        <v>0.011</v>
      </c>
      <c r="F89" s="7">
        <f>'Темп Базовой Инфляции'!D97</f>
        <v>0.131</v>
      </c>
      <c r="G89" s="7">
        <v>100.9515</v>
      </c>
    </row>
    <row r="90">
      <c r="A90" s="4">
        <v>39447.0</v>
      </c>
      <c r="B90" s="5">
        <f>'Темп Совокупной Инфляции'!C97</f>
        <v>0.91</v>
      </c>
      <c r="C90" s="5">
        <f>'Инфляционные ожидания'!D96</f>
        <v>0.149</v>
      </c>
      <c r="D90" s="6">
        <f>'Темп роста ВВП'!D99</f>
        <v>0.156</v>
      </c>
      <c r="E90" s="6">
        <f>'Разрыв выпуска'!F103</f>
        <v>0.007</v>
      </c>
      <c r="F90" s="7">
        <f>'Темп Базовой Инфляции'!D98</f>
        <v>0.134</v>
      </c>
      <c r="G90" s="7">
        <v>100.9551</v>
      </c>
    </row>
    <row r="91">
      <c r="A91" s="4">
        <v>39538.0</v>
      </c>
      <c r="B91" s="5">
        <f>'Темп Совокупной Инфляции'!C98</f>
        <v>1.35</v>
      </c>
      <c r="C91" s="5">
        <f>'Инфляционные ожидания'!D97</f>
        <v>0.149</v>
      </c>
      <c r="D91" s="6">
        <f>'Темп роста ВВП'!D100</f>
        <v>0.139</v>
      </c>
      <c r="E91" s="6">
        <f>'Разрыв выпуска'!F104</f>
        <v>0.011</v>
      </c>
      <c r="F91" s="7">
        <f>'Темп Базовой Инфляции'!D99</f>
        <v>0.138</v>
      </c>
      <c r="G91" s="7">
        <v>100.5945</v>
      </c>
    </row>
    <row r="92">
      <c r="A92" s="4">
        <v>39629.0</v>
      </c>
      <c r="B92" s="5">
        <f>'Темп Совокупной Инфляции'!C99</f>
        <v>1.44</v>
      </c>
      <c r="C92" s="5">
        <f>'Инфляционные ожидания'!D98</f>
        <v>0.164</v>
      </c>
      <c r="D92" s="6">
        <f>'Темп роста ВВП'!D101</f>
        <v>0.121</v>
      </c>
      <c r="E92" s="6">
        <f>'Разрыв выпуска'!F105</f>
        <v>0.007</v>
      </c>
      <c r="F92" s="7">
        <f>'Темп Базовой Инфляции'!D100</f>
        <v>0.139</v>
      </c>
      <c r="G92" s="7">
        <v>100.2117</v>
      </c>
    </row>
    <row r="93">
      <c r="A93" s="4">
        <v>39721.0</v>
      </c>
      <c r="B93" s="5">
        <f>'Темп Совокупной Инфляции'!C100</f>
        <v>1.2</v>
      </c>
      <c r="C93" s="5">
        <f>'Инфляционные ожидания'!D99</f>
        <v>0.143</v>
      </c>
      <c r="D93" s="6">
        <f>'Темп роста ВВП'!D102</f>
        <v>0.104</v>
      </c>
      <c r="E93" s="6">
        <f>'Разрыв выпуска'!F106</f>
        <v>0.007</v>
      </c>
      <c r="F93" s="7">
        <f>'Темп Базовой Инфляции'!D101</f>
        <v>0.144</v>
      </c>
      <c r="G93" s="7">
        <v>99.6087</v>
      </c>
    </row>
    <row r="94">
      <c r="A94" s="4">
        <v>39813.0</v>
      </c>
      <c r="B94" s="5">
        <f>'Темп Совокупной Инфляции'!C101</f>
        <v>-0.32</v>
      </c>
      <c r="C94" s="5">
        <f>'Инфляционные ожидания'!D100</f>
        <v>0.061</v>
      </c>
      <c r="D94" s="6">
        <f>'Темп роста ВВП'!D103</f>
        <v>0.066</v>
      </c>
      <c r="E94" s="6">
        <f>'Разрыв выпуска'!F107</f>
        <v>-0.004</v>
      </c>
      <c r="F94" s="7">
        <f>'Темп Базовой Инфляции'!D102</f>
        <v>0.141</v>
      </c>
      <c r="G94" s="7">
        <v>98.6573</v>
      </c>
    </row>
    <row r="95">
      <c r="A95" s="4">
        <v>39903.0</v>
      </c>
      <c r="B95" s="5">
        <f>'Темп Совокупной Инфляции'!C102</f>
        <v>0.11</v>
      </c>
      <c r="C95" s="5">
        <f>'Инфляционные ожидания'!D101</f>
        <v>0.091</v>
      </c>
      <c r="D95" s="6">
        <f>'Темп роста ВВП'!D104</f>
        <v>0.066</v>
      </c>
      <c r="E95" s="6">
        <f>'Разрыв выпуска'!F108</f>
        <v>-0.001</v>
      </c>
      <c r="F95" s="7">
        <f>'Темп Базовой Инфляции'!D103</f>
        <v>0.129</v>
      </c>
      <c r="G95" s="7">
        <v>98.0436</v>
      </c>
    </row>
    <row r="96">
      <c r="A96" s="4">
        <v>39994.0</v>
      </c>
      <c r="B96" s="5">
        <f>'Темп Совокупной Инфляции'!C103</f>
        <v>0.43</v>
      </c>
      <c r="C96" s="5">
        <f>'Инфляционные ожидания'!D102</f>
        <v>0.104</v>
      </c>
      <c r="D96" s="6">
        <f>'Темп роста ВВП'!D105</f>
        <v>0.078</v>
      </c>
      <c r="E96" s="6">
        <f>'Разрыв выпуска'!F109</f>
        <v>-0.001</v>
      </c>
      <c r="F96" s="7">
        <f>'Темп Базовой Инфляции'!D104</f>
        <v>0.129</v>
      </c>
      <c r="G96" s="7">
        <v>98.3515</v>
      </c>
    </row>
    <row r="97">
      <c r="A97" s="4">
        <v>40086.0</v>
      </c>
      <c r="B97" s="5">
        <f>'Темп Совокупной Инфляции'!C104</f>
        <v>0.97</v>
      </c>
      <c r="C97" s="5">
        <f>'Инфляционные ожидания'!D103</f>
        <v>0.099</v>
      </c>
      <c r="D97" s="6">
        <f>'Темп роста ВВП'!D106</f>
        <v>0.066</v>
      </c>
      <c r="E97" s="6">
        <f>'Разрыв выпуска'!F110</f>
        <v>-0.004</v>
      </c>
      <c r="F97" s="7">
        <f>'Темп Базовой Инфляции'!D105</f>
        <v>0.129</v>
      </c>
      <c r="G97" s="7">
        <v>99.2872</v>
      </c>
    </row>
    <row r="98">
      <c r="A98" s="4">
        <v>40178.0</v>
      </c>
      <c r="B98" s="5">
        <f>'Темп Совокупной Инфляции'!C105</f>
        <v>0.53</v>
      </c>
      <c r="C98" s="5">
        <f>'Инфляционные ожидания'!D104</f>
        <v>0.118</v>
      </c>
      <c r="D98" s="6">
        <f>'Темп роста ВВП'!D107</f>
        <v>0.117</v>
      </c>
      <c r="E98" s="6">
        <f>'Разрыв выпуска'!F111</f>
        <v>-0.003</v>
      </c>
      <c r="F98" s="7">
        <f>'Темп Базовой Инфляции'!D106</f>
        <v>0.135</v>
      </c>
      <c r="G98" s="7">
        <v>100.1947</v>
      </c>
    </row>
    <row r="99">
      <c r="A99" s="4">
        <v>40268.0</v>
      </c>
      <c r="B99" s="5">
        <f>'Темп Совокупной Инфляции'!C106</f>
        <v>0.95</v>
      </c>
      <c r="C99" s="5">
        <f>'Инфляционные ожидания'!D105</f>
        <v>0.125</v>
      </c>
      <c r="D99" s="6">
        <f>'Темп роста ВВП'!D108</f>
        <v>0.095</v>
      </c>
      <c r="E99" s="6">
        <f>'Разрыв выпуска'!F112</f>
        <v>-0.005</v>
      </c>
      <c r="F99" s="7">
        <f>'Темп Базовой Инфляции'!D107</f>
        <v>0.14</v>
      </c>
      <c r="G99" s="7">
        <v>100.7194</v>
      </c>
    </row>
    <row r="100">
      <c r="A100" s="4">
        <v>40359.0</v>
      </c>
      <c r="B100" s="5">
        <f>'Темп Совокупной Инфляции'!C107</f>
        <v>0.63</v>
      </c>
      <c r="C100" s="5">
        <f>'Инфляционные ожидания'!D106</f>
        <v>0.108</v>
      </c>
      <c r="D100" s="6">
        <f>'Темп роста ВВП'!D109</f>
        <v>0.091</v>
      </c>
      <c r="E100" s="6">
        <f>'Разрыв выпуска'!F113</f>
        <v>-0.006</v>
      </c>
      <c r="F100" s="7">
        <f>'Темп Базовой Инфляции'!D108</f>
        <v>0.147</v>
      </c>
      <c r="G100" s="7">
        <v>100.853</v>
      </c>
    </row>
    <row r="101">
      <c r="A101" s="4">
        <v>40451.0</v>
      </c>
      <c r="B101" s="5">
        <f>'Темп Совокупной Инфляции'!C108</f>
        <v>0.73</v>
      </c>
      <c r="C101" s="5">
        <f>'Инфляционные ожидания'!D107</f>
        <v>0.111</v>
      </c>
      <c r="D101" s="6">
        <f>'Темп роста ВВП'!D110</f>
        <v>0.108</v>
      </c>
      <c r="E101" s="6">
        <f>'Разрыв выпуска'!F114</f>
        <v>-0.006</v>
      </c>
      <c r="F101" s="7">
        <f>'Темп Базовой Инфляции'!D109</f>
        <v>0.147</v>
      </c>
      <c r="G101" s="7">
        <v>100.8214</v>
      </c>
    </row>
    <row r="102">
      <c r="A102" s="4">
        <v>40543.0</v>
      </c>
      <c r="B102" s="5">
        <f>'Темп Совокупной Инфляции'!C109</f>
        <v>0.41</v>
      </c>
      <c r="C102" s="5">
        <f>'Инфляционные ожидания'!D108</f>
        <v>0.12</v>
      </c>
      <c r="D102" s="6">
        <f>'Темп роста ВВП'!D111</f>
        <v>0.108</v>
      </c>
      <c r="E102" s="6">
        <f>'Разрыв выпуска'!F115</f>
        <v>-0.004</v>
      </c>
      <c r="F102" s="7">
        <f>'Темп Базовой Инфляции'!D110</f>
        <v>0.144</v>
      </c>
      <c r="G102" s="7">
        <v>100.8267</v>
      </c>
    </row>
    <row r="103">
      <c r="A103" s="4">
        <v>40633.0</v>
      </c>
      <c r="B103" s="5">
        <f>'Темп Совокупной Инфляции'!C110</f>
        <v>1.44</v>
      </c>
      <c r="C103" s="5">
        <f>'Инфляционные ожидания'!D109</f>
        <v>0.122</v>
      </c>
      <c r="D103" s="6">
        <f>'Темп роста ВВП'!D112</f>
        <v>0.078</v>
      </c>
      <c r="E103" s="6">
        <f>'Разрыв выпуска'!F116</f>
        <v>-0.013</v>
      </c>
      <c r="F103" s="7">
        <f>'Темп Базовой Инфляции'!D111</f>
        <v>0.144</v>
      </c>
      <c r="G103" s="7">
        <v>100.5298</v>
      </c>
    </row>
    <row r="104">
      <c r="A104" s="4">
        <v>40724.0</v>
      </c>
      <c r="B104" s="5">
        <f>'Темп Совокупной Инфляции'!C111</f>
        <v>0.92</v>
      </c>
      <c r="C104" s="5">
        <f>'Инфляционные ожидания'!D110</f>
        <v>0.12</v>
      </c>
      <c r="D104" s="6">
        <f>'Темп роста ВВП'!D113</f>
        <v>0.104</v>
      </c>
      <c r="E104" s="6">
        <f>'Разрыв выпуска'!F117</f>
        <v>-0.008</v>
      </c>
      <c r="F104" s="7">
        <f>'Темп Базовой Инфляции'!D112</f>
        <v>0.148</v>
      </c>
      <c r="G104" s="7">
        <v>99.9116</v>
      </c>
    </row>
    <row r="105">
      <c r="A105" s="4">
        <v>40816.0</v>
      </c>
      <c r="B105" s="5">
        <f>'Темп Совокупной Инфляции'!C112</f>
        <v>0.6</v>
      </c>
      <c r="C105" s="5">
        <f>'Инфляционные ожидания'!D111</f>
        <v>0.108</v>
      </c>
      <c r="D105" s="6">
        <f>'Темп роста ВВП'!D114</f>
        <v>0.134</v>
      </c>
      <c r="E105" s="6">
        <f>'Разрыв выпуска'!F118</f>
        <v>-0.001</v>
      </c>
      <c r="F105" s="7">
        <f>'Темп Базовой Инфляции'!D113</f>
        <v>0.152</v>
      </c>
      <c r="G105" s="7">
        <v>99.4924</v>
      </c>
    </row>
    <row r="106">
      <c r="A106" s="4">
        <v>40908.0</v>
      </c>
      <c r="B106" s="5">
        <f>'Темп Совокупной Инфляции'!C113</f>
        <v>0</v>
      </c>
      <c r="C106" s="5">
        <f>'Инфляционные ожидания'!D112</f>
        <v>0.106</v>
      </c>
      <c r="D106" s="6">
        <f>'Темп роста ВВП'!D115</f>
        <v>0.143</v>
      </c>
      <c r="E106" s="6">
        <f>'Разрыв выпуска'!F119</f>
        <v>0.002</v>
      </c>
      <c r="F106" s="7">
        <f>'Темп Базовой Инфляции'!D114</f>
        <v>0.153</v>
      </c>
      <c r="G106" s="7">
        <v>99.3494</v>
      </c>
    </row>
    <row r="107">
      <c r="A107" s="4">
        <v>40999.0</v>
      </c>
      <c r="B107" s="5">
        <f>'Темп Совокупной Инфляции'!C114</f>
        <v>0.1</v>
      </c>
      <c r="C107" s="5">
        <f>'Инфляционные ожидания'!D113</f>
        <v>0.119</v>
      </c>
      <c r="D107" s="6">
        <f>'Темп роста ВВП'!D116</f>
        <v>0.206</v>
      </c>
      <c r="E107" s="6">
        <f>'Разрыв выпуска'!F120</f>
        <v>0.006</v>
      </c>
      <c r="F107" s="7">
        <f>'Темп Базовой Инфляции'!D115</f>
        <v>0.168</v>
      </c>
      <c r="G107" s="7">
        <v>99.4237</v>
      </c>
    </row>
    <row r="108">
      <c r="A108" s="4">
        <v>41090.0</v>
      </c>
      <c r="B108" s="5">
        <f>'Темп Совокупной Инфляции'!C115</f>
        <v>0.5</v>
      </c>
      <c r="C108" s="5">
        <f>'Инфляционные ожидания'!D114</f>
        <v>0.1</v>
      </c>
      <c r="D108" s="6">
        <f>'Темп роста ВВП'!D117</f>
        <v>0.179</v>
      </c>
      <c r="E108" s="6">
        <f>'Разрыв выпуска'!F121</f>
        <v>0.006</v>
      </c>
      <c r="F108" s="7">
        <f>'Темп Базовой Инфляции'!D116</f>
        <v>0.205</v>
      </c>
      <c r="G108" s="7">
        <v>99.7828</v>
      </c>
    </row>
    <row r="109">
      <c r="A109" s="4">
        <v>41182.0</v>
      </c>
      <c r="B109" s="5">
        <f>'Темп Совокупной Инфляции'!C116</f>
        <v>1.39</v>
      </c>
      <c r="C109" s="5">
        <f>'Инфляционные ожидания'!D115</f>
        <v>0.105</v>
      </c>
      <c r="D109" s="6">
        <f>'Темп роста ВВП'!D118</f>
        <v>0.143</v>
      </c>
      <c r="E109" s="6">
        <f>'Разрыв выпуска'!F122</f>
        <v>0.005</v>
      </c>
      <c r="F109" s="7">
        <f>'Темп Базовой Инфляции'!D117</f>
        <v>0.216</v>
      </c>
      <c r="G109" s="7">
        <v>99.998</v>
      </c>
    </row>
    <row r="110">
      <c r="A110" s="4">
        <v>41274.0</v>
      </c>
      <c r="B110" s="5">
        <f>'Темп Совокупной Инфляции'!C117</f>
        <v>0.2</v>
      </c>
      <c r="C110" s="5">
        <f>'Инфляционные ожидания'!D116</f>
        <v>0.109</v>
      </c>
      <c r="D110" s="6">
        <f>'Темп роста ВВП'!D119</f>
        <v>0.117</v>
      </c>
      <c r="E110" s="6">
        <f>'Разрыв выпуска'!F123</f>
        <v>0.002</v>
      </c>
      <c r="F110" s="7">
        <f>'Темп Базовой Инфляции'!D118</f>
        <v>0.219</v>
      </c>
      <c r="G110" s="7">
        <v>99.8633</v>
      </c>
    </row>
    <row r="111">
      <c r="A111" s="4">
        <v>41364.0</v>
      </c>
      <c r="B111" s="5">
        <f>'Темп Совокупной Инфляции'!C118</f>
        <v>0.39</v>
      </c>
      <c r="C111" s="5">
        <f>'Инфляционные ожидания'!D117</f>
        <v>0.113</v>
      </c>
      <c r="D111" s="6">
        <f>'Темп роста ВВП'!D120</f>
        <v>0.095</v>
      </c>
      <c r="E111" s="6">
        <f>'Разрыв выпуска'!F124</f>
        <v>0.001</v>
      </c>
      <c r="F111" s="7">
        <f>'Темп Базовой Инфляции'!D119</f>
        <v>0.212</v>
      </c>
      <c r="G111" s="7">
        <v>99.6845</v>
      </c>
    </row>
    <row r="112">
      <c r="A112" s="4">
        <v>41455.0</v>
      </c>
      <c r="B112" s="5">
        <f>'Темп Совокупной Инфляции'!C119</f>
        <v>0.4</v>
      </c>
      <c r="C112" s="5">
        <f>'Инфляционные ожидания'!D118</f>
        <v>0.098</v>
      </c>
      <c r="D112" s="6">
        <f>'Темп роста ВВП'!D121</f>
        <v>0.082</v>
      </c>
      <c r="E112" s="6">
        <f>'Разрыв выпуска'!F125</f>
        <v>-0.002</v>
      </c>
      <c r="F112" s="7">
        <f>'Темп Базовой Инфляции'!D120</f>
        <v>0.209</v>
      </c>
      <c r="G112" s="7">
        <v>99.7219</v>
      </c>
    </row>
    <row r="113">
      <c r="A113" s="4">
        <v>41547.0</v>
      </c>
      <c r="B113" s="5">
        <f>'Темп Совокупной Инфляции'!C120</f>
        <v>1.17</v>
      </c>
      <c r="C113" s="5">
        <f>'Инфляционные ожидания'!D119</f>
        <v>0.1</v>
      </c>
      <c r="D113" s="6">
        <f>'Темп роста ВВП'!D122</f>
        <v>0.091</v>
      </c>
      <c r="E113" s="6">
        <f>'Разрыв выпуска'!F126</f>
        <v>0</v>
      </c>
      <c r="F113" s="7">
        <f>'Темп Базовой Инфляции'!D121</f>
        <v>0.217</v>
      </c>
      <c r="G113" s="7">
        <v>99.9217</v>
      </c>
    </row>
    <row r="114">
      <c r="A114" s="4">
        <v>41639.0</v>
      </c>
      <c r="B114" s="5">
        <f>'Темп Совокупной Инфляции'!C121</f>
        <v>0.77</v>
      </c>
      <c r="C114" s="5">
        <f>'Инфляционные ожидания'!D120</f>
        <v>0.109</v>
      </c>
      <c r="D114" s="6">
        <f>'Темп роста ВВП'!D123</f>
        <v>0.104</v>
      </c>
      <c r="E114" s="6">
        <f>'Разрыв выпуска'!F127</f>
        <v>0.001</v>
      </c>
      <c r="F114" s="7">
        <f>'Темп Базовой Инфляции'!D122</f>
        <v>0.217</v>
      </c>
      <c r="G114" s="7">
        <v>100.1146</v>
      </c>
    </row>
    <row r="115">
      <c r="A115" s="4">
        <v>41729.0</v>
      </c>
      <c r="B115" s="5">
        <f>'Темп Совокупной Инфляции'!C122</f>
        <v>0.6</v>
      </c>
      <c r="C115" s="5">
        <f>'Инфляционные ожидания'!D121</f>
        <v>0.106</v>
      </c>
      <c r="D115" s="6">
        <f>'Темп роста ВВП'!D124</f>
        <v>0.117</v>
      </c>
      <c r="E115" s="6">
        <f>'Разрыв выпуска'!F128</f>
        <v>0.003</v>
      </c>
      <c r="F115" s="7">
        <f>'Темп Базовой Инфляции'!D123</f>
        <v>0.217</v>
      </c>
      <c r="G115" s="7">
        <v>99.7758</v>
      </c>
    </row>
    <row r="116">
      <c r="A116" s="4">
        <v>41820.0</v>
      </c>
      <c r="B116" s="5">
        <f>'Темп Совокупной Инфляции'!C123</f>
        <v>0.5</v>
      </c>
      <c r="C116" s="5">
        <f>'Инфляционные ожидания'!D122</f>
        <v>0.105</v>
      </c>
      <c r="D116" s="6">
        <f>'Темп роста ВВП'!D125</f>
        <v>0.121</v>
      </c>
      <c r="E116" s="6">
        <f>'Разрыв выпуска'!F129</f>
        <v>0.001</v>
      </c>
      <c r="F116" s="7">
        <f>'Темп Базовой Инфляции'!D124</f>
        <v>0.217</v>
      </c>
      <c r="G116" s="7">
        <v>99.5604</v>
      </c>
    </row>
    <row r="117">
      <c r="A117" s="4">
        <v>41912.0</v>
      </c>
      <c r="B117" s="5">
        <f>'Темп Совокупной Инфляции'!C124</f>
        <v>0.5</v>
      </c>
      <c r="C117" s="5">
        <f>'Инфляционные ожидания'!D123</f>
        <v>0.101</v>
      </c>
      <c r="D117" s="6">
        <f>'Темп роста ВВП'!D126</f>
        <v>0.104</v>
      </c>
      <c r="E117" s="6">
        <f>'Разрыв выпуска'!F130</f>
        <v>-0.001</v>
      </c>
      <c r="F117" s="7">
        <f>'Темп Базовой Инфляции'!D125</f>
        <v>0.214</v>
      </c>
      <c r="G117" s="7">
        <v>99.9018</v>
      </c>
    </row>
    <row r="118">
      <c r="A118" s="4">
        <v>42004.0</v>
      </c>
      <c r="B118" s="5">
        <f>'Темп Совокупной Инфляции'!C125</f>
        <v>0.2</v>
      </c>
      <c r="C118" s="5">
        <f>'Инфляционные ожидания'!D124</f>
        <v>0.094</v>
      </c>
      <c r="D118" s="6">
        <f>'Темп роста ВВП'!D127</f>
        <v>0.087</v>
      </c>
      <c r="E118" s="6">
        <f>'Разрыв выпуска'!F131</f>
        <v>-0.004</v>
      </c>
      <c r="F118" s="7">
        <f>'Темп Базовой Инфляции'!D126</f>
        <v>0.215</v>
      </c>
      <c r="G118" s="7">
        <v>100.4201</v>
      </c>
    </row>
    <row r="119">
      <c r="A119" s="4">
        <v>42094.0</v>
      </c>
      <c r="B119" s="5">
        <f>'Темп Совокупной Инфляции'!C126</f>
        <v>0.2</v>
      </c>
      <c r="C119" s="5">
        <f>'Инфляционные ожидания'!D125</f>
        <v>0.093</v>
      </c>
      <c r="D119" s="6">
        <f>'Темп роста ВВП'!D128</f>
        <v>0.095</v>
      </c>
      <c r="E119" s="6">
        <f>'Разрыв выпуска'!F132</f>
        <v>0</v>
      </c>
      <c r="F119" s="7">
        <f>'Темп Базовой Инфляции'!D127</f>
        <v>0.212</v>
      </c>
      <c r="G119" s="7">
        <v>100.5705</v>
      </c>
    </row>
    <row r="120">
      <c r="A120" s="4">
        <v>42185.0</v>
      </c>
      <c r="B120" s="5">
        <f>'Темп Совокупной Инфляции'!C127</f>
        <v>0.7</v>
      </c>
      <c r="C120" s="5">
        <f>'Инфляционные ожидания'!D126</f>
        <v>0.096</v>
      </c>
      <c r="D120" s="6">
        <f>'Темп роста ВВП'!D129</f>
        <v>0.078</v>
      </c>
      <c r="E120" s="6">
        <f>'Разрыв выпуска'!F133</f>
        <v>-0.005</v>
      </c>
      <c r="F120" s="7">
        <f>'Темп Базовой Инфляции'!D128</f>
        <v>0.179</v>
      </c>
      <c r="G120" s="7">
        <v>100.276</v>
      </c>
    </row>
    <row r="121">
      <c r="A121" s="4">
        <v>42277.0</v>
      </c>
      <c r="B121" s="5">
        <f>'Темп Совокупной Инфляции'!C128</f>
        <v>0.5</v>
      </c>
      <c r="C121" s="5">
        <f>'Инфляционные ожидания'!D127</f>
        <v>0.089</v>
      </c>
      <c r="D121" s="6">
        <f>'Темп роста ВВП'!D130</f>
        <v>0.104</v>
      </c>
      <c r="E121" s="6">
        <f>'Разрыв выпуска'!F134</f>
        <v>-0.001</v>
      </c>
      <c r="F121" s="7">
        <f>'Темп Базовой Инфляции'!D129</f>
        <v>0.171</v>
      </c>
      <c r="G121" s="7">
        <v>99.9427</v>
      </c>
    </row>
    <row r="122">
      <c r="A122" s="4">
        <v>42369.0</v>
      </c>
      <c r="B122" s="5">
        <f>'Темп Совокупной Инфляции'!C129</f>
        <v>0.4</v>
      </c>
      <c r="C122" s="5">
        <f>'Инфляционные ожидания'!D128</f>
        <v>0.092</v>
      </c>
      <c r="D122" s="6">
        <f>'Темп роста ВВП'!D131</f>
        <v>0.112</v>
      </c>
      <c r="E122" s="6">
        <f>'Разрыв выпуска'!F135</f>
        <v>-0.001</v>
      </c>
      <c r="F122" s="7">
        <f>'Темп Базовой Инфляции'!D130</f>
        <v>0.172</v>
      </c>
      <c r="G122" s="7">
        <v>99.7361</v>
      </c>
    </row>
    <row r="123">
      <c r="A123" s="4">
        <v>42460.0</v>
      </c>
      <c r="B123" s="5">
        <f>'Темп Совокупной Инфляции'!C130</f>
        <v>-0.2</v>
      </c>
      <c r="C123" s="5">
        <f>'Инфляционные ожидания'!D129</f>
        <v>0.082</v>
      </c>
      <c r="D123" s="6">
        <f>'Темп роста ВВП'!D132</f>
        <v>0.112</v>
      </c>
      <c r="E123" s="6">
        <f>'Разрыв выпуска'!F136</f>
        <v>0.002</v>
      </c>
      <c r="F123" s="7">
        <f>'Темп Базовой Инфляции'!D131</f>
        <v>0.191</v>
      </c>
      <c r="G123" s="7">
        <v>99.7201</v>
      </c>
    </row>
    <row r="124">
      <c r="A124" s="4">
        <v>42551.0</v>
      </c>
      <c r="B124" s="5">
        <f>'Темп Совокупной Инфляции'!C131</f>
        <v>0.4</v>
      </c>
      <c r="C124" s="5">
        <f>'Инфляционные ожидания'!D130</f>
        <v>0.064</v>
      </c>
      <c r="D124" s="6">
        <f>'Темп роста ВВП'!D133</f>
        <v>0.134</v>
      </c>
      <c r="E124" s="6">
        <f>'Разрыв выпуска'!F137</f>
        <v>0.003</v>
      </c>
      <c r="F124" s="7">
        <f>'Темп Базовой Инфляции'!D132</f>
        <v>0.199</v>
      </c>
      <c r="G124" s="7">
        <v>99.8906</v>
      </c>
    </row>
    <row r="125">
      <c r="A125" s="4">
        <v>42643.0</v>
      </c>
      <c r="B125" s="5">
        <f>'Темп Совокупной Инфляции'!C132</f>
        <v>0.7</v>
      </c>
      <c r="C125" s="5">
        <f>'Инфляционные ожидания'!D131</f>
        <v>0.064</v>
      </c>
      <c r="D125" s="6">
        <f>'Темп роста ВВП'!D134</f>
        <v>0.091</v>
      </c>
      <c r="E125" s="6">
        <f>'Разрыв выпуска'!F138</f>
        <v>-0.003</v>
      </c>
      <c r="F125" s="7">
        <f>'Темп Базовой Инфляции'!D133</f>
        <v>0.207</v>
      </c>
      <c r="G125" s="7">
        <v>100.0852</v>
      </c>
    </row>
    <row r="126">
      <c r="A126" s="4">
        <v>42735.0</v>
      </c>
      <c r="B126" s="5">
        <f>'Темп Совокупной Инфляции'!C133</f>
        <v>0.5</v>
      </c>
      <c r="C126" s="5">
        <f>'Инфляционные ожидания'!D132</f>
        <v>0.081</v>
      </c>
      <c r="D126" s="6">
        <f>'Темп роста ВВП'!D135</f>
        <v>0.112</v>
      </c>
      <c r="E126" s="6">
        <f>'Разрыв выпуска'!F139</f>
        <v>0.003</v>
      </c>
      <c r="F126" s="7">
        <f>'Темп Базовой Инфляции'!D134</f>
        <v>0.207</v>
      </c>
      <c r="G126" s="7">
        <v>100.1597</v>
      </c>
    </row>
    <row r="127">
      <c r="A127" s="4">
        <v>42825.0</v>
      </c>
      <c r="B127" s="5">
        <f>'Темп Совокупной Инфляции'!C134</f>
        <v>0.5</v>
      </c>
      <c r="C127" s="5">
        <f>'Инфляционные ожидания'!D133</f>
        <v>0.081</v>
      </c>
      <c r="D127" s="6">
        <f>'Темп роста ВВП'!D136</f>
        <v>0.091</v>
      </c>
      <c r="E127" s="6">
        <f>'Разрыв выпуска'!F140</f>
        <v>0.001</v>
      </c>
      <c r="F127" s="7">
        <f>'Темп Базовой Инфляции'!D135</f>
        <v>0.2</v>
      </c>
      <c r="G127" s="7">
        <v>100.2066</v>
      </c>
    </row>
    <row r="128">
      <c r="A128" s="4">
        <v>42916.0</v>
      </c>
      <c r="B128" s="5">
        <f>'Темп Совокупной Инфляции'!C135</f>
        <v>0.2</v>
      </c>
      <c r="C128" s="5">
        <f>'Инфляционные ожидания'!D134</f>
        <v>0.077</v>
      </c>
      <c r="D128" s="6">
        <f>'Темп роста ВВП'!D137</f>
        <v>0.087</v>
      </c>
      <c r="E128" s="6">
        <f>'Разрыв выпуска'!F141</f>
        <v>0.002</v>
      </c>
      <c r="F128" s="7">
        <f>'Темп Базовой Инфляции'!D136</f>
        <v>0.198</v>
      </c>
      <c r="G128" s="7">
        <v>100.2367</v>
      </c>
    </row>
    <row r="129">
      <c r="A129" s="4">
        <v>43008.0</v>
      </c>
      <c r="B129" s="5">
        <f>'Темп Совокупной Инфляции'!C136</f>
        <v>0.6</v>
      </c>
      <c r="C129" s="5">
        <f>'Инфляционные ожидания'!D135</f>
        <v>0.075</v>
      </c>
      <c r="D129" s="6">
        <f>'Темп роста ВВП'!D138</f>
        <v>0.126</v>
      </c>
      <c r="E129" s="6">
        <f>'Разрыв выпуска'!F142</f>
        <v>0.005</v>
      </c>
      <c r="F129" s="7">
        <f>'Темп Базовой Инфляции'!D137</f>
        <v>0.196</v>
      </c>
      <c r="G129" s="7">
        <v>100.1282</v>
      </c>
    </row>
    <row r="130">
      <c r="A130" s="4">
        <v>43100.0</v>
      </c>
      <c r="B130" s="5">
        <f>'Темп Совокупной Инфляции'!C137</f>
        <v>0.6</v>
      </c>
      <c r="C130" s="5">
        <f>'Инфляционные ожидания'!D136</f>
        <v>0.078</v>
      </c>
      <c r="D130" s="6">
        <f>'Темп роста ВВП'!D139</f>
        <v>0.1</v>
      </c>
      <c r="E130" s="6">
        <f>'Разрыв выпуска'!F143</f>
        <v>0.005</v>
      </c>
      <c r="F130" s="7">
        <f>'Темп Базовой Инфляции'!D138</f>
        <v>0.194</v>
      </c>
      <c r="G130" s="7">
        <v>99.8361</v>
      </c>
    </row>
    <row r="131">
      <c r="A131" s="4">
        <v>43190.0</v>
      </c>
      <c r="B131" s="5">
        <f>'Темп Совокупной Инфляции'!C138</f>
        <v>0.4</v>
      </c>
      <c r="C131" s="5">
        <f>'Инфляционные ожидания'!D137</f>
        <v>0.079</v>
      </c>
      <c r="D131" s="6">
        <f>'Темп роста ВВП'!D140</f>
        <v>0.13</v>
      </c>
      <c r="E131" s="6">
        <f>'Разрыв выпуска'!F144</f>
        <v>0.01</v>
      </c>
      <c r="F131" s="7">
        <f>'Темп Базовой Инфляции'!D139</f>
        <v>0.184</v>
      </c>
      <c r="G131" s="7">
        <v>99.4998</v>
      </c>
    </row>
    <row r="132">
      <c r="A132" s="4">
        <v>43281.0</v>
      </c>
      <c r="B132" s="5">
        <f>'Темп Совокупной Инфляции'!C139</f>
        <v>0.4</v>
      </c>
      <c r="C132" s="5">
        <f>'Инфляционные ожидания'!D138</f>
        <v>0.082</v>
      </c>
      <c r="D132" s="6">
        <f>'Темп роста ВВП'!D141</f>
        <v>0.134</v>
      </c>
      <c r="E132" s="6">
        <f>'Разрыв выпуска'!F145</f>
        <v>0.012</v>
      </c>
      <c r="F132" s="7">
        <f>'Темп Базовой Инфляции'!D140</f>
        <v>0.183</v>
      </c>
      <c r="G132" s="7">
        <v>99.5403</v>
      </c>
    </row>
    <row r="133">
      <c r="A133" s="4">
        <v>43373.0</v>
      </c>
      <c r="B133" s="5">
        <f>'Темп Совокупной Инфляции'!C140</f>
        <v>0.4</v>
      </c>
      <c r="C133" s="5">
        <f>'Инфляционные ожидания'!D139</f>
        <v>0.077</v>
      </c>
      <c r="D133" s="6">
        <f>'Темп роста ВВП'!D142</f>
        <v>0.112</v>
      </c>
      <c r="E133" s="6">
        <f>'Разрыв выпуска'!F146</f>
        <v>0.011</v>
      </c>
      <c r="F133" s="7">
        <f>'Темп Базовой Инфляции'!D141</f>
        <v>0.178</v>
      </c>
      <c r="G133" s="7">
        <v>99.5652</v>
      </c>
    </row>
    <row r="134">
      <c r="A134" s="4">
        <v>43465.0</v>
      </c>
      <c r="B134" s="5">
        <f>'Темп Совокупной Инфляции'!C141</f>
        <v>0.5</v>
      </c>
      <c r="C134" s="5">
        <f>'Инфляционные ожидания'!D140</f>
        <v>0.067</v>
      </c>
      <c r="D134" s="6">
        <f>'Темп роста ВВП'!D143</f>
        <v>0.104</v>
      </c>
      <c r="E134" s="6">
        <f>'Разрыв выпуска'!F147</f>
        <v>0.009</v>
      </c>
      <c r="F134" s="7">
        <f>'Темп Базовой Инфляции'!D142</f>
        <v>0.18</v>
      </c>
      <c r="G134" s="7">
        <v>99.3694</v>
      </c>
    </row>
    <row r="135">
      <c r="A135" s="4">
        <v>43555.0</v>
      </c>
      <c r="B135" s="5">
        <f>'Темп Совокупной Инфляции'!C142</f>
        <v>0</v>
      </c>
      <c r="C135" s="5">
        <f>'Инфляционные ожидания'!D141</f>
        <v>0.059</v>
      </c>
      <c r="D135" s="6">
        <f>'Темп роста ВВП'!D144</f>
        <v>0.082</v>
      </c>
      <c r="E135" s="6">
        <f>'Разрыв выпуска'!F148</f>
        <v>0.011</v>
      </c>
      <c r="F135" s="7">
        <f>'Темп Базовой Инфляции'!D143</f>
        <v>0.163</v>
      </c>
      <c r="G135" s="7">
        <v>99.4993</v>
      </c>
    </row>
    <row r="136">
      <c r="A136" s="4">
        <v>43646.0</v>
      </c>
      <c r="B136" s="5">
        <f>'Темп Совокупной Инфляции'!C143</f>
        <v>0.6</v>
      </c>
      <c r="C136" s="5">
        <f>'Инфляционные ожидания'!D142</f>
        <v>0.056</v>
      </c>
      <c r="D136" s="6">
        <f>'Темп роста ВВП'!D145</f>
        <v>0.066</v>
      </c>
      <c r="E136" s="6">
        <f>'Разрыв выпуска'!F149</f>
        <v>0.008</v>
      </c>
      <c r="F136" s="7">
        <f>'Темп Базовой Инфляции'!D144</f>
        <v>0.179</v>
      </c>
      <c r="G136" s="7">
        <v>99.9089</v>
      </c>
    </row>
    <row r="137">
      <c r="A137" s="4">
        <v>43738.0</v>
      </c>
      <c r="B137" s="5">
        <f>'Темп Совокупной Инфляции'!C144</f>
        <v>0.5</v>
      </c>
      <c r="C137" s="5">
        <f>'Инфляционные ожидания'!D143</f>
        <v>0.051</v>
      </c>
      <c r="D137" s="6">
        <f>'Темп роста ВВП'!D146</f>
        <v>0.07</v>
      </c>
      <c r="E137" s="6">
        <f>'Разрыв выпуска'!F150</f>
        <v>0.008</v>
      </c>
      <c r="F137" s="7">
        <f>'Темп Базовой Инфляции'!D145</f>
        <v>0.173</v>
      </c>
      <c r="G137" s="7">
        <v>100.1142</v>
      </c>
    </row>
    <row r="138">
      <c r="A138" s="4">
        <v>43830.0</v>
      </c>
      <c r="B138" s="5">
        <f>'Темп Совокупной Инфляции'!C145</f>
        <v>0.7</v>
      </c>
      <c r="C138" s="5">
        <f>'Инфляционные ожидания'!D144</f>
        <v>0.058</v>
      </c>
      <c r="D138" s="6">
        <f>'Темп роста ВВП'!D147</f>
        <v>0.082</v>
      </c>
      <c r="E138" s="6">
        <f>'Разрыв выпуска'!F151</f>
        <v>0.008</v>
      </c>
      <c r="F138" s="7">
        <f>'Темп Базовой Инфляции'!D146</f>
        <v>0.176</v>
      </c>
      <c r="G138" s="7">
        <v>100.0385</v>
      </c>
    </row>
    <row r="139">
      <c r="A139" s="4">
        <v>43921.0</v>
      </c>
      <c r="B139" s="5">
        <f>'Темп Совокупной Инфляции'!C146</f>
        <v>0.3</v>
      </c>
      <c r="C139" s="5">
        <f>'Инфляционные ожидания'!D145</f>
        <v>0.026</v>
      </c>
      <c r="D139" s="6">
        <f>'Темп роста ВВП'!D148</f>
        <v>0.049</v>
      </c>
      <c r="E139" s="6">
        <f>'Разрыв выпуска'!F152</f>
        <v>0.001</v>
      </c>
      <c r="F139" s="7">
        <f>'Темп Базовой Инфляции'!D147</f>
        <v>0.181</v>
      </c>
      <c r="G139" s="7">
        <v>99.4552</v>
      </c>
    </row>
    <row r="140">
      <c r="A140" s="4">
        <v>44012.0</v>
      </c>
      <c r="B140" s="5">
        <f>'Темп Совокупной Инфляции'!C147</f>
        <v>-1.9</v>
      </c>
      <c r="C140" s="5">
        <f>'Инфляционные ожидания'!D146</f>
        <v>0.042</v>
      </c>
      <c r="D140" s="6">
        <f>'Темп роста ВВП'!D149</f>
        <v>-0.223</v>
      </c>
      <c r="E140" s="6">
        <f>'Разрыв выпуска'!F153</f>
        <v>-0.071</v>
      </c>
      <c r="F140" s="7">
        <f>'Темп Базовой Инфляции'!D148</f>
        <v>0.183</v>
      </c>
      <c r="G140" s="7">
        <v>97.3293</v>
      </c>
    </row>
    <row r="141">
      <c r="A141" s="4">
        <v>44104.0</v>
      </c>
      <c r="B141" s="5">
        <f>'Темп Совокупной Инфляции'!C148</f>
        <v>1.6</v>
      </c>
      <c r="C141" s="5">
        <f>'Инфляционные ожидания'!D147</f>
        <v>0.054</v>
      </c>
      <c r="D141" s="6">
        <f>'Темп роста ВВП'!D150</f>
        <v>-0.122</v>
      </c>
      <c r="E141" s="6">
        <f>'Разрыв выпуска'!F154</f>
        <v>-0.044</v>
      </c>
      <c r="F141" s="7">
        <f>'Темп Базовой Инфляции'!D149</f>
        <v>0.184</v>
      </c>
      <c r="G141" s="7">
        <v>98.7515</v>
      </c>
    </row>
    <row r="142">
      <c r="A142" s="4">
        <v>44196.0</v>
      </c>
      <c r="B142" s="5">
        <f>'Темп Совокупной Инфляции'!C149</f>
        <v>0.9</v>
      </c>
      <c r="C142" s="5">
        <f>'Инфляционные ожидания'!D148</f>
        <v>0.073</v>
      </c>
      <c r="D142" s="6">
        <f>'Темп роста ВВП'!D151</f>
        <v>-0.016</v>
      </c>
      <c r="E142" s="6">
        <f>'Разрыв выпуска'!F155</f>
        <v>-0.016</v>
      </c>
      <c r="F142" s="7">
        <f>'Темп Базовой Инфляции'!D150</f>
        <v>0.184</v>
      </c>
      <c r="G142" s="7">
        <v>100.3419</v>
      </c>
    </row>
    <row r="143">
      <c r="A143" s="4">
        <v>44286.0</v>
      </c>
      <c r="B143" s="5">
        <f>'Темп Совокупной Инфляции'!C150</f>
        <v>0.6</v>
      </c>
      <c r="C143" s="5">
        <f>'Инфляционные ожидания'!D149</f>
        <v>0.085</v>
      </c>
      <c r="D143" s="6">
        <f>'Темп роста ВВП'!D152</f>
        <v>0.082</v>
      </c>
      <c r="E143" s="6">
        <f>'Разрыв выпуска'!F156</f>
        <v>0</v>
      </c>
      <c r="F143" s="7">
        <f>'Темп Базовой Инфляции'!D151</f>
        <v>0.188</v>
      </c>
      <c r="G143" s="7">
        <v>101.2015</v>
      </c>
    </row>
    <row r="144">
      <c r="A144" s="4">
        <v>44377.0</v>
      </c>
      <c r="B144" s="5">
        <f>'Темп Совокупной Инфляции'!C151</f>
        <v>0.8</v>
      </c>
      <c r="C144" s="5">
        <f>'Инфляционные ожидания'!D150</f>
        <v>0.084</v>
      </c>
      <c r="D144" s="6">
        <f>'Темп роста ВВП'!D153</f>
        <v>0.496</v>
      </c>
      <c r="E144" s="6">
        <f>'Разрыв выпуска'!F157</f>
        <v>0.002</v>
      </c>
      <c r="F144" s="7">
        <f>'Темп Базовой Инфляции'!D152</f>
        <v>0.188</v>
      </c>
      <c r="G144" s="7">
        <v>101.5303</v>
      </c>
    </row>
    <row r="145">
      <c r="A145" s="4">
        <v>44469.0</v>
      </c>
      <c r="B145" s="5">
        <f>'Темп Совокупной Инфляции'!C152</f>
        <v>0.8</v>
      </c>
      <c r="C145" s="5">
        <f>'Инфляционные ожидания'!D151</f>
        <v>0.079</v>
      </c>
      <c r="D145" s="6">
        <f>'Темп роста ВВП'!D154</f>
        <v>0.202</v>
      </c>
      <c r="E145" s="6">
        <f>'Разрыв выпуска'!F158</f>
        <v>-0.021</v>
      </c>
      <c r="F145" s="7">
        <f>'Темп Базовой Инфляции'!D153</f>
        <v>0.197</v>
      </c>
      <c r="G145" s="7">
        <v>101.292</v>
      </c>
    </row>
    <row r="146">
      <c r="A146" s="4">
        <v>44561.0</v>
      </c>
      <c r="B146" s="5">
        <f>'Темп Совокупной Инфляции'!C153</f>
        <v>1.3</v>
      </c>
      <c r="C146" s="5">
        <f>'Инфляционные ожидания'!D152</f>
        <v>0.095</v>
      </c>
      <c r="D146" s="6">
        <f>'Темп роста ВВП'!D155</f>
        <v>0.22</v>
      </c>
      <c r="E146" s="6">
        <f>'Разрыв выпуска'!F159</f>
        <v>0.009</v>
      </c>
      <c r="F146" s="7">
        <f>'Темп Базовой Инфляции'!D154</f>
        <v>0.175</v>
      </c>
      <c r="G146" s="7">
        <v>100.7762</v>
      </c>
    </row>
    <row r="147">
      <c r="A147" s="4">
        <v>44651.0</v>
      </c>
      <c r="B147" s="5">
        <f>'Темп Совокупной Инфляции'!C154</f>
        <v>2.1</v>
      </c>
      <c r="C147" s="5">
        <f>'Инфляционные ожидания'!D153</f>
        <v>0.106</v>
      </c>
      <c r="D147" s="6">
        <f>'Темп роста ВВП'!D156</f>
        <v>0.156</v>
      </c>
      <c r="E147" s="6">
        <f>'Разрыв выпуска'!F160</f>
        <v>0.011</v>
      </c>
      <c r="F147" s="7">
        <f>'Темп Базовой Инфляции'!D155</f>
        <v>0.177</v>
      </c>
      <c r="G147" s="7">
        <v>100.625</v>
      </c>
    </row>
    <row r="148">
      <c r="A148" s="4">
        <v>44742.0</v>
      </c>
      <c r="B148" s="5">
        <f>'Темп Совокупной Инфляции'!C155</f>
        <v>1.8</v>
      </c>
      <c r="C148" s="5">
        <f>'Инфляционные ожидания'!D154</f>
        <v>0.095</v>
      </c>
      <c r="D148" s="6">
        <f>'Темп роста ВВП'!D157</f>
        <v>0.152</v>
      </c>
      <c r="E148" s="6">
        <f>'Разрыв выпуска'!F161</f>
        <v>0.014</v>
      </c>
      <c r="F148" s="7">
        <f>'Темп Базовой Инфляции'!D156</f>
        <v>0.183</v>
      </c>
      <c r="G148" s="7">
        <v>100.647</v>
      </c>
    </row>
    <row r="149">
      <c r="A149" s="4">
        <v>44834.0</v>
      </c>
      <c r="B149" s="5">
        <f>'Темп Совокупной Инфляции'!C156</f>
        <v>1.8</v>
      </c>
      <c r="C149" s="5">
        <f>'Инфляционные ожидания'!D155</f>
        <v>0.09</v>
      </c>
      <c r="D149" s="6">
        <f>'Темп роста ВВП'!D158</f>
        <v>0.248</v>
      </c>
      <c r="E149" s="6">
        <f>'Разрыв выпуска'!F162</f>
        <v>0.009</v>
      </c>
      <c r="F149" s="7">
        <f>'Темп Базовой Инфляции'!D157</f>
        <v>0.177</v>
      </c>
      <c r="G149" s="7">
        <v>100.4552</v>
      </c>
    </row>
    <row r="150">
      <c r="A150" s="4">
        <v>44926.0</v>
      </c>
      <c r="B150" s="5">
        <f>'Темп Совокупной Инфляции'!C157</f>
        <v>1.9</v>
      </c>
      <c r="C150" s="5">
        <f>'Инфляционные ожидания'!D156</f>
        <v>0.101</v>
      </c>
      <c r="D150" s="6">
        <f>'Темп роста ВВП'!D159</f>
        <v>0.104</v>
      </c>
      <c r="E150" s="6">
        <f>'Разрыв выпуска'!F163</f>
        <v>0.009</v>
      </c>
      <c r="F150" s="7">
        <f>'Темп Базовой Инфляции'!D158</f>
        <v>0.176</v>
      </c>
      <c r="G150" s="7">
        <v>99.9242</v>
      </c>
    </row>
    <row r="151">
      <c r="A151" s="4">
        <v>45016.0</v>
      </c>
      <c r="B151" s="5">
        <f>'Темп Совокупной Инфляции'!C158</f>
        <v>1.4</v>
      </c>
      <c r="C151" s="5">
        <f>'Инфляционные ожидания'!D157</f>
        <v>0.097</v>
      </c>
      <c r="D151" s="6">
        <f>'Темп роста ВВП'!D160</f>
        <v>0.095</v>
      </c>
      <c r="E151" s="6">
        <f>'Разрыв выпуска'!F164</f>
        <v>0.009</v>
      </c>
      <c r="F151" s="7">
        <f>'Темп Базовой Инфляции'!D159</f>
        <v>0.181</v>
      </c>
      <c r="G151" s="7">
        <v>99.4762</v>
      </c>
    </row>
    <row r="152">
      <c r="A152" s="4">
        <v>45107.0</v>
      </c>
      <c r="B152" s="5">
        <f>'Темп Совокупной Инфляции'!C159</f>
        <v>0.8</v>
      </c>
      <c r="C152" s="5">
        <f>'Инфляционные ожидания'!D158</f>
        <v>0.101</v>
      </c>
      <c r="D152" s="6">
        <f>'Темп роста ВВП'!D161</f>
        <v>0.078</v>
      </c>
      <c r="E152" s="6">
        <f>'Разрыв выпуска'!F165</f>
        <v>0.008</v>
      </c>
      <c r="F152" s="7">
        <f>'Темп Базовой Инфляции'!D160</f>
        <v>0.181</v>
      </c>
      <c r="G152" s="7">
        <v>99.1562</v>
      </c>
    </row>
    <row r="153">
      <c r="A153" s="4">
        <v>45199.0</v>
      </c>
      <c r="B153" s="5">
        <f>'Темп Совокупной Инфляции'!C160</f>
        <v>1.2</v>
      </c>
      <c r="C153" s="5">
        <f>'Инфляционные ожидания'!D159</f>
        <v>0.106</v>
      </c>
      <c r="D153" s="6">
        <f>'Темп роста ВВП'!D162</f>
        <v>0.087</v>
      </c>
      <c r="E153" s="6">
        <f>'Разрыв выпуска'!F166</f>
        <v>0.005</v>
      </c>
      <c r="F153" s="7">
        <f>'Темп Базовой Инфляции'!D161</f>
        <v>0.184</v>
      </c>
      <c r="G153" s="7">
        <v>98.9674</v>
      </c>
    </row>
    <row r="154">
      <c r="A154" s="4">
        <v>45291.0</v>
      </c>
      <c r="B154" s="5">
        <f>'Темп Совокупной Инфляции'!C161</f>
        <v>0.6</v>
      </c>
      <c r="C154" s="5">
        <f>'Инфляционные ожидания'!D160</f>
        <v>0.107</v>
      </c>
      <c r="D154" s="6">
        <f>'Темп роста ВВП'!D163</f>
        <v>0.066</v>
      </c>
      <c r="E154" s="6">
        <f>'Разрыв выпуска'!F167</f>
        <v>0.001</v>
      </c>
      <c r="F154" s="7">
        <f>'Темп Базовой Инфляции'!D162</f>
        <v>0.183</v>
      </c>
      <c r="G154" s="7">
        <v>98.9408</v>
      </c>
    </row>
    <row r="155">
      <c r="A155" s="4">
        <v>45382.0</v>
      </c>
      <c r="B155" s="5">
        <f>'Темп Совокупной Инфляции'!C162</f>
        <v>1</v>
      </c>
      <c r="C155" s="5">
        <f>'Инфляционные ожидания'!D161</f>
        <v>0.102</v>
      </c>
      <c r="D155" s="6">
        <f>'Темп роста ВВП'!D164</f>
        <v>0.053</v>
      </c>
      <c r="E155" s="6">
        <f>'Разрыв выпуска'!F168</f>
        <v>-0.003</v>
      </c>
      <c r="F155" s="7">
        <f>'Темп Базовой Инфляции'!D163</f>
        <v>0.185</v>
      </c>
      <c r="G155" s="7">
        <v>99.1242</v>
      </c>
    </row>
    <row r="156">
      <c r="A156" s="4">
        <v>45473.0</v>
      </c>
      <c r="B156" s="5">
        <f>'Темп Совокупной Инфляции'!C163</f>
        <v>1</v>
      </c>
      <c r="C156" s="5">
        <f>'Инфляционные ожидания'!D162</f>
        <v>0.1</v>
      </c>
      <c r="D156" s="6">
        <f>'Темп роста ВВП'!D165</f>
        <v>0.041</v>
      </c>
      <c r="E156" s="6">
        <f>'Разрыв выпуска'!F169</f>
        <v>-0.007</v>
      </c>
      <c r="F156" s="7">
        <f>'Темп Базовой Инфляции'!D164</f>
        <v>0.19</v>
      </c>
      <c r="G156" s="7">
        <v>99.4647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86"/>
    <col customWidth="1" min="7" max="7" width="17.29"/>
    <col customWidth="1" min="8" max="8" width="20.29"/>
  </cols>
  <sheetData>
    <row r="1">
      <c r="A1" s="9"/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</row>
    <row r="2">
      <c r="A2" s="10" t="s">
        <v>1</v>
      </c>
      <c r="B2" s="11" t="s">
        <v>14</v>
      </c>
      <c r="C2" s="11" t="s">
        <v>15</v>
      </c>
      <c r="D2" s="11" t="s">
        <v>16</v>
      </c>
      <c r="E2" s="11" t="s">
        <v>17</v>
      </c>
      <c r="F2" s="11" t="s">
        <v>18</v>
      </c>
      <c r="G2" s="11" t="s">
        <v>19</v>
      </c>
      <c r="H2" s="11" t="s">
        <v>20</v>
      </c>
    </row>
    <row r="3">
      <c r="A3" s="10" t="s">
        <v>2</v>
      </c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1" t="s">
        <v>26</v>
      </c>
      <c r="H3" s="11" t="s">
        <v>27</v>
      </c>
    </row>
    <row r="4">
      <c r="A4" s="10" t="s">
        <v>28</v>
      </c>
      <c r="B4" s="11" t="s">
        <v>29</v>
      </c>
      <c r="C4" s="11" t="s">
        <v>30</v>
      </c>
      <c r="D4" s="11" t="s">
        <v>31</v>
      </c>
      <c r="E4" s="11" t="s">
        <v>32</v>
      </c>
      <c r="F4" s="11" t="s">
        <v>33</v>
      </c>
      <c r="G4" s="11" t="s">
        <v>34</v>
      </c>
      <c r="H4" s="11" t="s">
        <v>35</v>
      </c>
    </row>
    <row r="5">
      <c r="A5" s="10" t="s">
        <v>4</v>
      </c>
      <c r="B5" s="11" t="s">
        <v>36</v>
      </c>
      <c r="C5" s="11" t="s">
        <v>37</v>
      </c>
      <c r="D5" s="11" t="s">
        <v>38</v>
      </c>
      <c r="E5" s="11" t="s">
        <v>38</v>
      </c>
      <c r="F5" s="11" t="s">
        <v>38</v>
      </c>
      <c r="G5" s="11" t="s">
        <v>39</v>
      </c>
      <c r="H5" s="11" t="s">
        <v>40</v>
      </c>
    </row>
    <row r="6">
      <c r="A6" s="10" t="s">
        <v>5</v>
      </c>
      <c r="B6" s="11" t="s">
        <v>41</v>
      </c>
      <c r="C6" s="11" t="s">
        <v>42</v>
      </c>
      <c r="D6" s="11" t="s">
        <v>43</v>
      </c>
      <c r="E6" s="11" t="s">
        <v>43</v>
      </c>
      <c r="F6" s="11" t="s">
        <v>38</v>
      </c>
      <c r="G6" s="11" t="s">
        <v>44</v>
      </c>
      <c r="H6" s="11" t="s">
        <v>45</v>
      </c>
    </row>
    <row r="7">
      <c r="A7" s="12" t="s">
        <v>6</v>
      </c>
      <c r="B7" s="13" t="s">
        <v>46</v>
      </c>
      <c r="C7" s="13" t="s">
        <v>47</v>
      </c>
      <c r="D7" s="13" t="s">
        <v>48</v>
      </c>
      <c r="E7" s="13" t="s">
        <v>49</v>
      </c>
      <c r="F7" s="13" t="s">
        <v>50</v>
      </c>
      <c r="G7" s="13" t="s">
        <v>51</v>
      </c>
      <c r="H7" s="14" t="s">
        <v>52</v>
      </c>
    </row>
    <row r="8">
      <c r="A8" s="15"/>
      <c r="E8" s="15"/>
      <c r="G8" s="15"/>
    </row>
    <row r="13">
      <c r="F13" s="16"/>
      <c r="G13" s="16"/>
      <c r="H13" s="16"/>
      <c r="I13" s="16"/>
      <c r="J13" s="16"/>
      <c r="K13" s="16"/>
      <c r="L13" s="16"/>
    </row>
    <row r="14">
      <c r="F14" s="16"/>
    </row>
    <row r="15">
      <c r="F15" s="16"/>
    </row>
    <row r="16">
      <c r="F16" s="16"/>
    </row>
    <row r="17">
      <c r="C17" s="16"/>
      <c r="D17" s="16"/>
      <c r="E17" s="16"/>
      <c r="F17" s="16"/>
    </row>
    <row r="18">
      <c r="C18" s="16"/>
      <c r="F18" s="16"/>
    </row>
    <row r="19">
      <c r="C19" s="16"/>
      <c r="D19" s="17"/>
      <c r="F19" s="16"/>
    </row>
    <row r="20">
      <c r="C20" s="16"/>
    </row>
    <row r="21">
      <c r="C21" s="16"/>
    </row>
    <row r="22">
      <c r="C22" s="16"/>
    </row>
    <row r="23">
      <c r="C23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0"/>
    <col customWidth="1" min="2" max="2" width="43.29"/>
    <col customWidth="1" min="3" max="3" width="43.86"/>
    <col customWidth="1" min="4" max="4" width="43.29"/>
    <col customWidth="1" min="5" max="6" width="43.57"/>
    <col customWidth="1" min="7" max="7" width="42.71"/>
    <col customWidth="1" min="8" max="8" width="45.0"/>
    <col customWidth="1" min="9" max="9" width="44.29"/>
    <col customWidth="1" min="10" max="10" width="46.86"/>
  </cols>
  <sheetData>
    <row r="1">
      <c r="A1" s="18" t="s">
        <v>53</v>
      </c>
      <c r="B1" s="19" t="s">
        <v>54</v>
      </c>
      <c r="C1" s="19" t="s">
        <v>55</v>
      </c>
      <c r="D1" s="19" t="s">
        <v>56</v>
      </c>
      <c r="E1" s="19" t="s">
        <v>57</v>
      </c>
      <c r="F1" s="19" t="s">
        <v>58</v>
      </c>
      <c r="G1" s="19" t="s">
        <v>59</v>
      </c>
      <c r="H1" s="19" t="s">
        <v>60</v>
      </c>
      <c r="I1" s="19" t="s">
        <v>61</v>
      </c>
      <c r="J1" s="20" t="s">
        <v>62</v>
      </c>
    </row>
    <row r="2">
      <c r="A2" s="21" t="s">
        <v>63</v>
      </c>
      <c r="B2" s="22" t="s">
        <v>64</v>
      </c>
      <c r="C2" s="22" t="s">
        <v>65</v>
      </c>
      <c r="D2" s="22" t="s">
        <v>66</v>
      </c>
      <c r="E2" s="23" t="s">
        <v>67</v>
      </c>
      <c r="F2" s="24" t="s">
        <v>21</v>
      </c>
      <c r="G2" s="25" t="s">
        <v>68</v>
      </c>
      <c r="H2" s="24" t="s">
        <v>69</v>
      </c>
      <c r="I2" s="24" t="s">
        <v>70</v>
      </c>
      <c r="J2" s="26" t="s">
        <v>71</v>
      </c>
      <c r="K2" s="27"/>
    </row>
    <row r="3">
      <c r="A3" s="21" t="s">
        <v>72</v>
      </c>
      <c r="B3" s="22" t="s">
        <v>73</v>
      </c>
      <c r="C3" s="22" t="s">
        <v>74</v>
      </c>
      <c r="D3" s="22" t="s">
        <v>75</v>
      </c>
      <c r="E3" s="22" t="s">
        <v>76</v>
      </c>
      <c r="F3" s="26" t="s">
        <v>76</v>
      </c>
      <c r="G3" s="26" t="s">
        <v>77</v>
      </c>
      <c r="H3" s="26" t="s">
        <v>78</v>
      </c>
      <c r="I3" s="26" t="s">
        <v>79</v>
      </c>
      <c r="J3" s="26" t="s">
        <v>80</v>
      </c>
      <c r="K3" s="27"/>
    </row>
    <row r="4">
      <c r="A4" s="21" t="s">
        <v>81</v>
      </c>
      <c r="B4" s="22" t="s">
        <v>82</v>
      </c>
      <c r="C4" s="22" t="s">
        <v>83</v>
      </c>
      <c r="D4" s="28" t="s">
        <v>84</v>
      </c>
      <c r="E4" s="28" t="s">
        <v>85</v>
      </c>
      <c r="F4" s="26" t="s">
        <v>86</v>
      </c>
      <c r="G4" s="26" t="s">
        <v>87</v>
      </c>
      <c r="H4" s="26" t="s">
        <v>88</v>
      </c>
      <c r="I4" s="26" t="s">
        <v>89</v>
      </c>
      <c r="J4" s="24" t="s">
        <v>90</v>
      </c>
      <c r="K4" s="27"/>
    </row>
    <row r="5">
      <c r="A5" s="21" t="s">
        <v>91</v>
      </c>
      <c r="B5" s="22" t="s">
        <v>92</v>
      </c>
      <c r="C5" s="22" t="s">
        <v>93</v>
      </c>
      <c r="D5" s="29" t="s">
        <v>94</v>
      </c>
      <c r="E5" s="29" t="s">
        <v>95</v>
      </c>
      <c r="F5" s="26" t="s">
        <v>96</v>
      </c>
      <c r="G5" s="26" t="s">
        <v>97</v>
      </c>
      <c r="H5" s="26" t="s">
        <v>98</v>
      </c>
      <c r="I5" s="26" t="s">
        <v>99</v>
      </c>
      <c r="J5" s="26" t="s">
        <v>100</v>
      </c>
      <c r="K5" s="27"/>
    </row>
    <row r="6">
      <c r="A6" s="21" t="s">
        <v>101</v>
      </c>
      <c r="B6" s="22" t="s">
        <v>102</v>
      </c>
      <c r="C6" s="22" t="s">
        <v>103</v>
      </c>
      <c r="D6" s="29" t="s">
        <v>104</v>
      </c>
      <c r="E6" s="29" t="s">
        <v>105</v>
      </c>
      <c r="F6" s="26" t="s">
        <v>106</v>
      </c>
      <c r="G6" s="26" t="s">
        <v>107</v>
      </c>
      <c r="H6" s="24" t="s">
        <v>108</v>
      </c>
      <c r="I6" s="24" t="s">
        <v>109</v>
      </c>
      <c r="J6" s="26" t="s">
        <v>110</v>
      </c>
      <c r="K6" s="27"/>
    </row>
    <row r="7">
      <c r="A7" s="21" t="s">
        <v>111</v>
      </c>
      <c r="B7" s="22" t="s">
        <v>112</v>
      </c>
      <c r="C7" s="22" t="s">
        <v>113</v>
      </c>
      <c r="D7" s="29" t="s">
        <v>114</v>
      </c>
      <c r="E7" s="29" t="s">
        <v>115</v>
      </c>
      <c r="F7" s="26" t="s">
        <v>116</v>
      </c>
      <c r="G7" s="26" t="s">
        <v>117</v>
      </c>
      <c r="H7" s="26" t="s">
        <v>118</v>
      </c>
      <c r="I7" s="26" t="s">
        <v>119</v>
      </c>
      <c r="J7" s="24" t="s">
        <v>120</v>
      </c>
      <c r="K7" s="27"/>
    </row>
    <row r="8">
      <c r="A8" s="21" t="s">
        <v>121</v>
      </c>
      <c r="B8" s="22" t="s">
        <v>122</v>
      </c>
      <c r="C8" s="22" t="s">
        <v>123</v>
      </c>
      <c r="D8" s="29" t="s">
        <v>124</v>
      </c>
      <c r="E8" s="29" t="s">
        <v>125</v>
      </c>
      <c r="F8" s="26" t="s">
        <v>126</v>
      </c>
      <c r="G8" s="26" t="s">
        <v>127</v>
      </c>
      <c r="H8" s="26" t="s">
        <v>128</v>
      </c>
      <c r="I8" s="26" t="s">
        <v>129</v>
      </c>
      <c r="J8" s="26" t="s">
        <v>130</v>
      </c>
      <c r="K8" s="27"/>
    </row>
    <row r="9">
      <c r="A9" s="21" t="s">
        <v>131</v>
      </c>
      <c r="B9" s="30"/>
      <c r="C9" s="22"/>
      <c r="D9" s="31"/>
      <c r="E9" s="31"/>
      <c r="F9" s="32"/>
      <c r="G9" s="32"/>
      <c r="H9" s="26"/>
      <c r="I9" s="26"/>
      <c r="J9" s="26"/>
      <c r="K9" s="27"/>
    </row>
    <row r="10">
      <c r="A10" s="21" t="s">
        <v>132</v>
      </c>
      <c r="B10" s="22" t="s">
        <v>133</v>
      </c>
      <c r="C10" s="22" t="s">
        <v>134</v>
      </c>
      <c r="D10" s="23" t="s">
        <v>135</v>
      </c>
      <c r="E10" s="23" t="s">
        <v>136</v>
      </c>
      <c r="F10" s="26" t="s">
        <v>137</v>
      </c>
      <c r="G10" s="26" t="s">
        <v>138</v>
      </c>
      <c r="H10" s="24" t="s">
        <v>139</v>
      </c>
      <c r="I10" s="24" t="s">
        <v>140</v>
      </c>
      <c r="J10" s="24" t="s">
        <v>141</v>
      </c>
      <c r="K10" s="27"/>
    </row>
    <row r="11">
      <c r="A11" s="21" t="s">
        <v>142</v>
      </c>
      <c r="B11" s="22" t="s">
        <v>143</v>
      </c>
      <c r="C11" s="22" t="s">
        <v>144</v>
      </c>
      <c r="D11" s="23" t="s">
        <v>145</v>
      </c>
      <c r="E11" s="23" t="s">
        <v>144</v>
      </c>
      <c r="F11" s="23" t="s">
        <v>144</v>
      </c>
      <c r="G11" s="23" t="s">
        <v>144</v>
      </c>
      <c r="H11" s="26" t="s">
        <v>146</v>
      </c>
      <c r="I11" s="26" t="s">
        <v>147</v>
      </c>
      <c r="J11" s="26" t="s">
        <v>148</v>
      </c>
      <c r="K11" s="27"/>
    </row>
    <row r="12">
      <c r="A12" s="21" t="s">
        <v>149</v>
      </c>
      <c r="B12" s="22" t="s">
        <v>150</v>
      </c>
      <c r="C12" s="22" t="s">
        <v>144</v>
      </c>
      <c r="D12" s="22" t="s">
        <v>151</v>
      </c>
      <c r="E12" s="28" t="s">
        <v>144</v>
      </c>
      <c r="F12" s="23" t="s">
        <v>144</v>
      </c>
      <c r="G12" s="28" t="s">
        <v>144</v>
      </c>
      <c r="H12" s="26" t="s">
        <v>152</v>
      </c>
      <c r="I12" s="26" t="s">
        <v>153</v>
      </c>
      <c r="J12" s="26" t="s">
        <v>154</v>
      </c>
      <c r="K12" s="27"/>
    </row>
    <row r="13">
      <c r="A13" s="21" t="s">
        <v>155</v>
      </c>
      <c r="B13" s="22" t="s">
        <v>156</v>
      </c>
      <c r="C13" s="22" t="s">
        <v>144</v>
      </c>
      <c r="D13" s="22" t="s">
        <v>157</v>
      </c>
      <c r="E13" s="28" t="s">
        <v>144</v>
      </c>
      <c r="F13" s="28" t="s">
        <v>144</v>
      </c>
      <c r="G13" s="23" t="s">
        <v>144</v>
      </c>
      <c r="H13" s="26" t="s">
        <v>158</v>
      </c>
      <c r="I13" s="26" t="s">
        <v>159</v>
      </c>
      <c r="J13" s="24" t="s">
        <v>160</v>
      </c>
      <c r="K13" s="27"/>
    </row>
    <row r="14">
      <c r="A14" s="21" t="s">
        <v>161</v>
      </c>
      <c r="B14" s="22" t="s">
        <v>162</v>
      </c>
      <c r="C14" s="22" t="s">
        <v>144</v>
      </c>
      <c r="D14" s="22" t="s">
        <v>163</v>
      </c>
      <c r="E14" s="33" t="s">
        <v>144</v>
      </c>
      <c r="F14" s="28" t="s">
        <v>144</v>
      </c>
      <c r="G14" s="28" t="s">
        <v>144</v>
      </c>
      <c r="H14" s="24" t="s">
        <v>164</v>
      </c>
      <c r="I14" s="24" t="s">
        <v>165</v>
      </c>
      <c r="J14" s="26" t="s">
        <v>166</v>
      </c>
      <c r="K14" s="27"/>
    </row>
    <row r="15">
      <c r="A15" s="21" t="s">
        <v>167</v>
      </c>
      <c r="B15" s="22" t="s">
        <v>144</v>
      </c>
      <c r="C15" s="22" t="s">
        <v>144</v>
      </c>
      <c r="D15" s="22" t="s">
        <v>144</v>
      </c>
      <c r="E15" s="22" t="s">
        <v>144</v>
      </c>
      <c r="F15" s="28" t="s">
        <v>144</v>
      </c>
      <c r="G15" s="28" t="s">
        <v>144</v>
      </c>
      <c r="H15" s="26" t="s">
        <v>168</v>
      </c>
      <c r="I15" s="26" t="s">
        <v>144</v>
      </c>
      <c r="J15" s="26" t="s">
        <v>144</v>
      </c>
      <c r="K15" s="27"/>
    </row>
    <row r="16" ht="23.25" customHeight="1">
      <c r="A16" s="21" t="s">
        <v>169</v>
      </c>
      <c r="B16" s="22" t="s">
        <v>144</v>
      </c>
      <c r="C16" s="22" t="s">
        <v>144</v>
      </c>
      <c r="D16" s="22" t="s">
        <v>144</v>
      </c>
      <c r="E16" s="22" t="s">
        <v>144</v>
      </c>
      <c r="F16" s="28" t="s">
        <v>144</v>
      </c>
      <c r="G16" s="28" t="s">
        <v>144</v>
      </c>
      <c r="H16" s="26" t="s">
        <v>144</v>
      </c>
      <c r="I16" s="26" t="s">
        <v>170</v>
      </c>
      <c r="J16" s="24" t="s">
        <v>144</v>
      </c>
      <c r="K16" s="27"/>
    </row>
    <row r="17" ht="23.25" customHeight="1">
      <c r="A17" s="21" t="s">
        <v>171</v>
      </c>
      <c r="B17" s="22" t="s">
        <v>144</v>
      </c>
      <c r="C17" s="22" t="s">
        <v>144</v>
      </c>
      <c r="D17" s="22" t="s">
        <v>144</v>
      </c>
      <c r="E17" s="22" t="s">
        <v>144</v>
      </c>
      <c r="F17" s="28" t="s">
        <v>144</v>
      </c>
      <c r="G17" s="28" t="s">
        <v>144</v>
      </c>
      <c r="H17" s="26" t="s">
        <v>144</v>
      </c>
      <c r="I17" s="26" t="s">
        <v>144</v>
      </c>
      <c r="J17" s="26" t="s">
        <v>172</v>
      </c>
      <c r="K17" s="27"/>
    </row>
    <row r="18">
      <c r="A18" s="21" t="s">
        <v>173</v>
      </c>
      <c r="B18" s="22" t="s">
        <v>144</v>
      </c>
      <c r="C18" s="22" t="s">
        <v>174</v>
      </c>
      <c r="D18" s="22" t="s">
        <v>144</v>
      </c>
      <c r="E18" s="22" t="s">
        <v>175</v>
      </c>
      <c r="F18" s="28" t="s">
        <v>144</v>
      </c>
      <c r="G18" s="28" t="s">
        <v>144</v>
      </c>
      <c r="H18" s="26" t="s">
        <v>144</v>
      </c>
      <c r="I18" s="26" t="s">
        <v>144</v>
      </c>
      <c r="J18" s="26" t="s">
        <v>144</v>
      </c>
      <c r="K18" s="27"/>
    </row>
    <row r="19">
      <c r="A19" s="34" t="s">
        <v>2</v>
      </c>
      <c r="B19" s="35" t="s">
        <v>144</v>
      </c>
      <c r="C19" s="35" t="s">
        <v>144</v>
      </c>
      <c r="D19" s="35" t="s">
        <v>144</v>
      </c>
      <c r="E19" s="35" t="s">
        <v>144</v>
      </c>
      <c r="F19" s="36" t="s">
        <v>176</v>
      </c>
      <c r="G19" s="37" t="s">
        <v>144</v>
      </c>
      <c r="H19" s="36" t="s">
        <v>144</v>
      </c>
      <c r="I19" s="36" t="s">
        <v>144</v>
      </c>
      <c r="J19" s="36" t="s">
        <v>144</v>
      </c>
      <c r="K19" s="27"/>
    </row>
    <row r="20">
      <c r="A20" s="34" t="s">
        <v>177</v>
      </c>
      <c r="B20" s="35" t="s">
        <v>144</v>
      </c>
      <c r="C20" s="35" t="s">
        <v>144</v>
      </c>
      <c r="D20" s="35" t="s">
        <v>144</v>
      </c>
      <c r="E20" s="35" t="s">
        <v>144</v>
      </c>
      <c r="F20" s="38" t="s">
        <v>144</v>
      </c>
      <c r="G20" s="36" t="s">
        <v>178</v>
      </c>
      <c r="H20" s="36" t="s">
        <v>144</v>
      </c>
      <c r="I20" s="36" t="s">
        <v>144</v>
      </c>
      <c r="J20" s="39" t="s">
        <v>144</v>
      </c>
      <c r="K20" s="27"/>
    </row>
    <row r="21">
      <c r="A21" s="40"/>
      <c r="B21" s="40"/>
      <c r="C21" s="40"/>
      <c r="D21" s="40"/>
      <c r="E21" s="40"/>
      <c r="F21" s="27"/>
      <c r="G21" s="27"/>
      <c r="H21" s="41"/>
      <c r="I21" s="41"/>
      <c r="J21" s="41"/>
      <c r="K21" s="27"/>
    </row>
    <row r="22">
      <c r="A22" s="40"/>
      <c r="B22" s="40"/>
      <c r="C22" s="40"/>
      <c r="D22" s="40"/>
      <c r="E22" s="40"/>
      <c r="F22" s="27"/>
      <c r="G22" s="27"/>
      <c r="H22" s="41"/>
      <c r="I22" s="41"/>
      <c r="J22" s="41"/>
      <c r="K22" s="27"/>
    </row>
    <row r="23">
      <c r="A23" s="40"/>
      <c r="B23" s="27"/>
      <c r="C23" s="27"/>
      <c r="D23" s="27"/>
      <c r="E23" s="27"/>
      <c r="F23" s="27"/>
      <c r="G23" s="27"/>
      <c r="H23" s="41"/>
      <c r="I23" s="41"/>
      <c r="J23" s="41"/>
      <c r="K23" s="27"/>
    </row>
    <row r="24">
      <c r="A24" s="40"/>
      <c r="B24" s="27"/>
      <c r="C24" s="27"/>
      <c r="D24" s="27"/>
      <c r="E24" s="27"/>
      <c r="F24" s="27"/>
      <c r="G24" s="27"/>
      <c r="H24" s="41"/>
      <c r="I24" s="41"/>
      <c r="J24" s="41"/>
      <c r="K24" s="27"/>
    </row>
    <row r="25">
      <c r="A25" s="27"/>
      <c r="B25" s="27"/>
      <c r="C25" s="27"/>
      <c r="D25" s="27"/>
      <c r="E25" s="27"/>
      <c r="F25" s="27"/>
      <c r="G25" s="27"/>
      <c r="H25" s="41"/>
      <c r="I25" s="41"/>
      <c r="J25" s="41"/>
      <c r="K25" s="27"/>
    </row>
    <row r="26">
      <c r="A26" s="27"/>
      <c r="B26" s="27"/>
      <c r="C26" s="27"/>
      <c r="D26" s="27"/>
      <c r="E26" s="27"/>
      <c r="F26" s="27"/>
      <c r="G26" s="27"/>
      <c r="H26" s="41"/>
      <c r="I26" s="41"/>
      <c r="J26" s="41"/>
      <c r="K26" s="27"/>
    </row>
    <row r="27">
      <c r="A27" s="27"/>
      <c r="B27" s="27"/>
      <c r="C27" s="27"/>
      <c r="D27" s="27"/>
      <c r="E27" s="27"/>
      <c r="F27" s="27"/>
      <c r="G27" s="27"/>
      <c r="H27" s="41"/>
      <c r="I27" s="41"/>
      <c r="J27" s="41"/>
      <c r="K27" s="27"/>
    </row>
    <row r="28">
      <c r="A28" s="27"/>
      <c r="B28" s="27"/>
      <c r="C28" s="27"/>
      <c r="D28" s="27"/>
      <c r="E28" s="27"/>
      <c r="F28" s="27"/>
      <c r="G28" s="27"/>
      <c r="H28" s="41"/>
      <c r="I28" s="41"/>
      <c r="J28" s="41"/>
      <c r="K28" s="27"/>
    </row>
    <row r="29">
      <c r="A29" s="27"/>
      <c r="B29" s="27"/>
      <c r="C29" s="27"/>
      <c r="D29" s="27"/>
      <c r="E29" s="27"/>
      <c r="F29" s="27"/>
      <c r="G29" s="27"/>
      <c r="H29" s="41"/>
      <c r="I29" s="41"/>
      <c r="J29" s="41"/>
      <c r="K29" s="27"/>
    </row>
    <row r="30">
      <c r="A30" s="27"/>
      <c r="B30" s="27"/>
      <c r="C30" s="27"/>
      <c r="D30" s="27"/>
      <c r="E30" s="27"/>
      <c r="F30" s="27"/>
      <c r="G30" s="27"/>
      <c r="H30" s="41"/>
      <c r="I30" s="41"/>
      <c r="J30" s="41"/>
      <c r="K30" s="27"/>
    </row>
    <row r="31">
      <c r="A31" s="27"/>
      <c r="B31" s="27"/>
      <c r="C31" s="27"/>
      <c r="D31" s="27"/>
      <c r="E31" s="27"/>
      <c r="F31" s="27"/>
      <c r="G31" s="27"/>
      <c r="H31" s="41"/>
      <c r="I31" s="41"/>
      <c r="J31" s="41"/>
      <c r="K31" s="27"/>
    </row>
    <row r="32">
      <c r="A32" s="27"/>
      <c r="B32" s="27"/>
      <c r="C32" s="27"/>
      <c r="D32" s="27"/>
      <c r="E32" s="27"/>
      <c r="F32" s="27"/>
      <c r="G32" s="27"/>
      <c r="H32" s="41"/>
      <c r="I32" s="41"/>
      <c r="J32" s="41"/>
      <c r="K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4.71"/>
    <col customWidth="1" min="3" max="3" width="39.71"/>
    <col customWidth="1" min="4" max="6" width="8.71"/>
    <col customWidth="1" min="7" max="7" width="17.71"/>
    <col customWidth="1" min="8" max="8" width="24.29"/>
    <col customWidth="1" min="9" max="9" width="26.29"/>
    <col customWidth="1" min="10" max="25" width="8.71"/>
  </cols>
  <sheetData>
    <row r="1">
      <c r="A1" s="42"/>
      <c r="B1" s="42"/>
      <c r="C1" s="43"/>
      <c r="D1" s="42"/>
      <c r="E1" s="42"/>
      <c r="G1" s="44"/>
      <c r="H1" s="45"/>
    </row>
    <row r="2">
      <c r="A2" s="46"/>
      <c r="B2" s="47" t="s">
        <v>179</v>
      </c>
      <c r="D2" s="42"/>
      <c r="E2" s="42"/>
      <c r="G2" s="44"/>
      <c r="H2" s="45"/>
    </row>
    <row r="3">
      <c r="A3" s="48"/>
      <c r="B3" s="42"/>
      <c r="C3" s="43"/>
      <c r="D3" s="42"/>
      <c r="E3" s="42"/>
      <c r="G3" s="44"/>
      <c r="H3" s="45"/>
    </row>
    <row r="4">
      <c r="A4" s="48"/>
      <c r="B4" s="49" t="s">
        <v>180</v>
      </c>
      <c r="D4" s="50"/>
      <c r="E4" s="50"/>
      <c r="F4" s="50"/>
      <c r="G4" s="44"/>
      <c r="H4" s="45"/>
    </row>
    <row r="5" ht="28.5" customHeight="1">
      <c r="A5" s="48"/>
      <c r="D5" s="51"/>
      <c r="E5" s="52"/>
      <c r="F5" s="52"/>
      <c r="G5" s="44"/>
      <c r="H5" s="45"/>
    </row>
    <row r="6">
      <c r="A6" s="48"/>
      <c r="D6" s="52"/>
      <c r="E6" s="52"/>
      <c r="F6" s="50"/>
      <c r="G6" s="44"/>
      <c r="H6" s="45"/>
    </row>
    <row r="7">
      <c r="A7" s="48"/>
      <c r="B7" s="42"/>
      <c r="C7" s="43"/>
      <c r="D7" s="52"/>
      <c r="E7" s="52"/>
      <c r="F7" s="50"/>
      <c r="G7" s="50"/>
      <c r="H7" s="50"/>
      <c r="I7" s="50"/>
      <c r="J7" s="50"/>
      <c r="K7" s="50"/>
      <c r="L7" s="50"/>
      <c r="M7" s="50"/>
    </row>
    <row r="8">
      <c r="A8" s="48"/>
      <c r="B8" s="9" t="s">
        <v>0</v>
      </c>
      <c r="C8" s="9" t="s">
        <v>1</v>
      </c>
      <c r="D8" s="52"/>
      <c r="E8" s="52"/>
      <c r="F8" s="50"/>
      <c r="G8" s="51"/>
      <c r="H8" s="52"/>
      <c r="I8" s="52"/>
      <c r="J8" s="50"/>
      <c r="K8" s="50"/>
      <c r="L8" s="50"/>
      <c r="M8" s="50"/>
    </row>
    <row r="9">
      <c r="A9" s="48"/>
      <c r="B9" s="53">
        <v>31412.0</v>
      </c>
      <c r="C9" s="54">
        <v>2.02</v>
      </c>
      <c r="D9" s="42"/>
      <c r="E9" s="42"/>
      <c r="G9" s="52"/>
      <c r="H9" s="52"/>
      <c r="I9" s="50"/>
      <c r="J9" s="50"/>
      <c r="K9" s="50"/>
      <c r="L9" s="50"/>
      <c r="M9" s="50"/>
    </row>
    <row r="10">
      <c r="A10" s="48"/>
      <c r="B10" s="55">
        <v>31502.0</v>
      </c>
      <c r="C10" s="54">
        <v>2.22</v>
      </c>
      <c r="D10" s="42"/>
      <c r="E10" s="42"/>
      <c r="G10" s="52"/>
      <c r="H10" s="52"/>
      <c r="I10" s="50"/>
      <c r="J10" s="50"/>
      <c r="K10" s="50"/>
      <c r="L10" s="50"/>
      <c r="M10" s="50"/>
    </row>
    <row r="11">
      <c r="A11" s="48"/>
      <c r="B11" s="55">
        <v>31593.0</v>
      </c>
      <c r="C11" s="54">
        <v>1.69</v>
      </c>
      <c r="D11" s="42"/>
      <c r="E11" s="42"/>
      <c r="G11" s="52"/>
      <c r="H11" s="52"/>
      <c r="I11" s="50"/>
      <c r="J11" s="50"/>
      <c r="K11" s="50"/>
      <c r="L11" s="50"/>
      <c r="M11" s="50"/>
    </row>
    <row r="12">
      <c r="A12" s="48"/>
      <c r="B12" s="55">
        <v>31685.0</v>
      </c>
      <c r="C12" s="54">
        <v>2.61</v>
      </c>
      <c r="D12" s="42"/>
      <c r="E12" s="42"/>
      <c r="G12" s="52"/>
      <c r="H12" s="52"/>
      <c r="I12" s="50"/>
      <c r="J12" s="50"/>
      <c r="K12" s="50"/>
      <c r="L12" s="50"/>
      <c r="M12" s="50"/>
    </row>
    <row r="13">
      <c r="A13" s="48"/>
      <c r="B13" s="53">
        <v>31777.0</v>
      </c>
      <c r="C13" s="54">
        <v>2.78</v>
      </c>
      <c r="D13" s="42"/>
      <c r="E13" s="42"/>
      <c r="G13" s="52"/>
      <c r="H13" s="52"/>
      <c r="I13" s="50"/>
      <c r="J13" s="50"/>
      <c r="K13" s="50"/>
      <c r="L13" s="50"/>
      <c r="M13" s="50"/>
    </row>
    <row r="14">
      <c r="A14" s="48"/>
      <c r="B14" s="55">
        <v>31867.0</v>
      </c>
      <c r="C14" s="54">
        <v>2.03</v>
      </c>
      <c r="D14" s="42"/>
      <c r="E14" s="42"/>
      <c r="G14" s="52"/>
      <c r="H14" s="52"/>
      <c r="I14" s="50"/>
      <c r="J14" s="50"/>
      <c r="K14" s="50"/>
      <c r="L14" s="50"/>
      <c r="M14" s="50"/>
    </row>
    <row r="15">
      <c r="A15" s="48"/>
      <c r="B15" s="55">
        <v>31958.0</v>
      </c>
      <c r="C15" s="54">
        <v>1.55</v>
      </c>
      <c r="D15" s="42"/>
      <c r="E15" s="42"/>
      <c r="G15" s="52"/>
      <c r="H15" s="52"/>
      <c r="I15" s="50"/>
      <c r="J15" s="50"/>
      <c r="K15" s="50"/>
      <c r="L15" s="50"/>
      <c r="M15" s="50"/>
    </row>
    <row r="16">
      <c r="A16" s="48"/>
      <c r="B16" s="55">
        <v>32050.0</v>
      </c>
      <c r="C16" s="54">
        <v>1.74</v>
      </c>
      <c r="D16" s="42"/>
      <c r="E16" s="42"/>
      <c r="G16" s="52"/>
      <c r="H16" s="52"/>
      <c r="I16" s="50"/>
      <c r="J16" s="50"/>
      <c r="K16" s="50"/>
      <c r="L16" s="50"/>
      <c r="M16" s="50"/>
    </row>
    <row r="17">
      <c r="A17" s="48"/>
      <c r="B17" s="53">
        <v>32142.0</v>
      </c>
      <c r="C17" s="54">
        <v>1.71</v>
      </c>
      <c r="D17" s="42"/>
      <c r="E17" s="42"/>
      <c r="G17" s="52"/>
      <c r="H17" s="52"/>
      <c r="I17" s="50"/>
      <c r="J17" s="50"/>
      <c r="K17" s="50"/>
      <c r="L17" s="50"/>
      <c r="M17" s="50"/>
    </row>
    <row r="18">
      <c r="A18" s="48"/>
      <c r="B18" s="55">
        <v>32233.0</v>
      </c>
      <c r="C18" s="54">
        <v>1.68</v>
      </c>
      <c r="D18" s="42"/>
      <c r="E18" s="42"/>
      <c r="G18" s="52"/>
      <c r="H18" s="52"/>
      <c r="I18" s="50"/>
      <c r="J18" s="50"/>
      <c r="K18" s="50"/>
      <c r="L18" s="50"/>
      <c r="M18" s="50"/>
    </row>
    <row r="19">
      <c r="A19" s="48"/>
      <c r="B19" s="55">
        <v>32324.0</v>
      </c>
      <c r="C19" s="54">
        <v>1.86</v>
      </c>
      <c r="D19" s="42"/>
      <c r="E19" s="42"/>
      <c r="G19" s="52"/>
      <c r="H19" s="52"/>
      <c r="I19" s="50"/>
      <c r="J19" s="50"/>
      <c r="K19" s="50"/>
      <c r="L19" s="50"/>
      <c r="M19" s="50"/>
    </row>
    <row r="20">
      <c r="A20" s="48"/>
      <c r="B20" s="55">
        <v>32416.0</v>
      </c>
      <c r="C20" s="54">
        <v>1.83</v>
      </c>
      <c r="D20" s="42"/>
      <c r="E20" s="42"/>
      <c r="G20" s="52"/>
      <c r="H20" s="52"/>
      <c r="I20" s="50"/>
      <c r="J20" s="50"/>
      <c r="K20" s="50"/>
      <c r="L20" s="50"/>
      <c r="M20" s="50"/>
    </row>
    <row r="21">
      <c r="A21" s="48"/>
      <c r="B21" s="53">
        <v>32508.0</v>
      </c>
      <c r="C21" s="54">
        <v>1.99</v>
      </c>
      <c r="D21" s="42"/>
      <c r="E21" s="42"/>
      <c r="G21" s="52"/>
      <c r="H21" s="52"/>
      <c r="I21" s="50"/>
      <c r="J21" s="50"/>
      <c r="K21" s="50"/>
      <c r="L21" s="50"/>
      <c r="M21" s="50"/>
    </row>
    <row r="22">
      <c r="A22" s="48"/>
      <c r="B22" s="55">
        <v>32598.0</v>
      </c>
      <c r="C22" s="54">
        <v>0.98</v>
      </c>
      <c r="D22" s="42"/>
      <c r="E22" s="42"/>
      <c r="G22" s="52"/>
      <c r="H22" s="52"/>
      <c r="I22" s="50"/>
      <c r="J22" s="50"/>
      <c r="K22" s="50"/>
      <c r="L22" s="50"/>
      <c r="M22" s="50"/>
    </row>
    <row r="23">
      <c r="A23" s="48"/>
      <c r="B23" s="55">
        <v>32689.0</v>
      </c>
      <c r="C23" s="54">
        <v>2.51</v>
      </c>
      <c r="D23" s="42"/>
      <c r="E23" s="42"/>
      <c r="G23" s="52"/>
      <c r="H23" s="52"/>
      <c r="I23" s="50"/>
      <c r="J23" s="50"/>
      <c r="K23" s="50"/>
      <c r="L23" s="50"/>
      <c r="M23" s="50"/>
    </row>
    <row r="24" ht="15.75" customHeight="1">
      <c r="A24" s="48"/>
      <c r="B24" s="55">
        <v>32781.0</v>
      </c>
      <c r="C24" s="54">
        <v>2.26</v>
      </c>
      <c r="D24" s="42"/>
      <c r="E24" s="42"/>
      <c r="G24" s="52"/>
      <c r="H24" s="52"/>
      <c r="I24" s="50"/>
      <c r="J24" s="50"/>
      <c r="K24" s="50"/>
      <c r="L24" s="50"/>
      <c r="M24" s="50"/>
    </row>
    <row r="25" ht="15.75" customHeight="1">
      <c r="A25" s="48"/>
      <c r="B25" s="53">
        <v>32873.0</v>
      </c>
      <c r="C25" s="54">
        <v>1.85</v>
      </c>
      <c r="D25" s="42"/>
      <c r="E25" s="42"/>
      <c r="G25" s="52"/>
      <c r="H25" s="52"/>
      <c r="I25" s="50"/>
      <c r="J25" s="50"/>
      <c r="K25" s="50"/>
      <c r="L25" s="50"/>
      <c r="M25" s="50"/>
    </row>
    <row r="26" ht="15.75" customHeight="1">
      <c r="A26" s="48"/>
      <c r="B26" s="55">
        <v>32963.0</v>
      </c>
      <c r="C26" s="54">
        <v>1.81</v>
      </c>
      <c r="D26" s="42"/>
      <c r="E26" s="42"/>
      <c r="G26" s="52"/>
      <c r="H26" s="52"/>
      <c r="I26" s="50"/>
      <c r="J26" s="50"/>
      <c r="K26" s="50"/>
      <c r="L26" s="50"/>
      <c r="M26" s="50"/>
    </row>
    <row r="27" ht="15.75" customHeight="1">
      <c r="A27" s="48"/>
      <c r="B27" s="55">
        <v>33054.0</v>
      </c>
      <c r="C27" s="54">
        <v>1.6</v>
      </c>
      <c r="D27" s="42"/>
      <c r="E27" s="42"/>
      <c r="G27" s="52"/>
      <c r="H27" s="52"/>
      <c r="I27" s="50"/>
      <c r="J27" s="50"/>
      <c r="K27" s="50"/>
      <c r="L27" s="50"/>
      <c r="M27" s="50"/>
    </row>
    <row r="28" ht="15.75" customHeight="1">
      <c r="A28" s="48"/>
      <c r="B28" s="55">
        <v>33146.0</v>
      </c>
      <c r="C28" s="54">
        <v>0.7</v>
      </c>
      <c r="D28" s="42"/>
      <c r="E28" s="42"/>
      <c r="G28" s="52"/>
      <c r="H28" s="52"/>
      <c r="I28" s="50"/>
      <c r="J28" s="50"/>
      <c r="K28" s="50"/>
      <c r="L28" s="50"/>
      <c r="M28" s="50"/>
    </row>
    <row r="29" ht="15.75" customHeight="1">
      <c r="A29" s="48"/>
      <c r="B29" s="53">
        <v>33238.0</v>
      </c>
      <c r="C29" s="54">
        <v>2.61</v>
      </c>
      <c r="D29" s="42"/>
      <c r="E29" s="42"/>
      <c r="G29" s="52"/>
      <c r="H29" s="52"/>
      <c r="I29" s="50"/>
      <c r="J29" s="50"/>
      <c r="K29" s="50"/>
      <c r="L29" s="50"/>
      <c r="M29" s="50"/>
    </row>
    <row r="30" ht="15.75" customHeight="1">
      <c r="A30" s="48"/>
      <c r="B30" s="55">
        <v>33328.0</v>
      </c>
      <c r="C30" s="54">
        <v>-0.17</v>
      </c>
      <c r="D30" s="42"/>
      <c r="E30" s="42"/>
      <c r="G30" s="52"/>
      <c r="H30" s="52"/>
      <c r="I30" s="50"/>
      <c r="J30" s="50"/>
      <c r="K30" s="50"/>
      <c r="L30" s="50"/>
      <c r="M30" s="50"/>
    </row>
    <row r="31" ht="15.75" customHeight="1">
      <c r="A31" s="48"/>
      <c r="B31" s="55">
        <v>33419.0</v>
      </c>
      <c r="C31" s="54">
        <v>0.17</v>
      </c>
      <c r="D31" s="42"/>
      <c r="E31" s="42"/>
      <c r="G31" s="52"/>
      <c r="H31" s="52"/>
      <c r="I31" s="50"/>
      <c r="J31" s="50"/>
      <c r="K31" s="50"/>
      <c r="L31" s="50"/>
      <c r="M31" s="50"/>
    </row>
    <row r="32" ht="15.75" customHeight="1">
      <c r="A32" s="48"/>
      <c r="B32" s="55">
        <v>33511.0</v>
      </c>
      <c r="C32" s="54">
        <v>0.51</v>
      </c>
      <c r="D32" s="42"/>
      <c r="E32" s="42"/>
      <c r="G32" s="52"/>
      <c r="H32" s="52"/>
      <c r="I32" s="50"/>
      <c r="J32" s="50"/>
      <c r="K32" s="50"/>
      <c r="L32" s="50"/>
      <c r="M32" s="50"/>
    </row>
    <row r="33" ht="15.75" customHeight="1">
      <c r="A33" s="48"/>
      <c r="B33" s="53">
        <v>33603.0</v>
      </c>
      <c r="C33" s="54">
        <v>1.01</v>
      </c>
      <c r="D33" s="42"/>
      <c r="E33" s="42"/>
      <c r="G33" s="52"/>
      <c r="H33" s="52"/>
      <c r="I33" s="50"/>
      <c r="J33" s="50"/>
      <c r="K33" s="50"/>
      <c r="L33" s="50"/>
      <c r="M33" s="50"/>
    </row>
    <row r="34" ht="15.75" customHeight="1">
      <c r="A34" s="48"/>
      <c r="B34" s="55">
        <v>33694.0</v>
      </c>
      <c r="C34" s="54">
        <v>0.0</v>
      </c>
      <c r="D34" s="42"/>
      <c r="E34" s="42"/>
      <c r="G34" s="52"/>
      <c r="H34" s="52"/>
      <c r="I34" s="50"/>
      <c r="J34" s="50"/>
      <c r="K34" s="50"/>
      <c r="L34" s="50"/>
      <c r="M34" s="50"/>
    </row>
    <row r="35" ht="15.75" customHeight="1">
      <c r="A35" s="48"/>
      <c r="B35" s="55">
        <v>33785.0</v>
      </c>
      <c r="C35" s="54">
        <v>-0.33</v>
      </c>
      <c r="D35" s="42"/>
      <c r="E35" s="42"/>
      <c r="G35" s="52"/>
      <c r="H35" s="52"/>
      <c r="I35" s="50"/>
      <c r="J35" s="50"/>
      <c r="K35" s="50"/>
      <c r="L35" s="50"/>
      <c r="M35" s="50"/>
    </row>
    <row r="36" ht="15.75" customHeight="1">
      <c r="A36" s="48"/>
      <c r="B36" s="55">
        <v>33877.0</v>
      </c>
      <c r="C36" s="54">
        <v>0.17</v>
      </c>
      <c r="D36" s="42"/>
      <c r="E36" s="42"/>
      <c r="G36" s="52"/>
      <c r="H36" s="52"/>
      <c r="I36" s="50"/>
      <c r="J36" s="50"/>
      <c r="K36" s="50"/>
      <c r="L36" s="50"/>
      <c r="M36" s="50"/>
    </row>
    <row r="37" ht="15.75" customHeight="1">
      <c r="A37" s="48"/>
      <c r="B37" s="53">
        <v>33969.0</v>
      </c>
      <c r="C37" s="54">
        <v>0.5</v>
      </c>
      <c r="D37" s="42"/>
      <c r="E37" s="42"/>
      <c r="G37" s="52"/>
      <c r="H37" s="52"/>
      <c r="I37" s="50"/>
      <c r="J37" s="50"/>
      <c r="K37" s="50"/>
      <c r="L37" s="50"/>
      <c r="M37" s="50"/>
    </row>
    <row r="38" ht="15.75" customHeight="1">
      <c r="A38" s="48"/>
      <c r="B38" s="55">
        <v>34059.0</v>
      </c>
      <c r="C38" s="54">
        <v>0.83</v>
      </c>
      <c r="D38" s="42"/>
      <c r="E38" s="42"/>
      <c r="G38" s="52"/>
      <c r="H38" s="52"/>
      <c r="I38" s="50"/>
      <c r="J38" s="50"/>
      <c r="K38" s="50"/>
      <c r="L38" s="50"/>
      <c r="M38" s="50"/>
    </row>
    <row r="39" ht="15.75" customHeight="1">
      <c r="A39" s="48"/>
      <c r="B39" s="55">
        <v>34150.0</v>
      </c>
      <c r="C39" s="54">
        <v>0.33</v>
      </c>
      <c r="D39" s="42"/>
      <c r="E39" s="42"/>
      <c r="G39" s="52"/>
      <c r="H39" s="52"/>
      <c r="I39" s="50"/>
      <c r="J39" s="50"/>
      <c r="K39" s="50"/>
      <c r="L39" s="50"/>
      <c r="M39" s="50"/>
    </row>
    <row r="40" ht="15.75" customHeight="1">
      <c r="A40" s="48"/>
      <c r="B40" s="55">
        <v>34242.0</v>
      </c>
      <c r="C40" s="54">
        <v>0.49</v>
      </c>
      <c r="D40" s="42"/>
      <c r="E40" s="42"/>
      <c r="G40" s="52"/>
      <c r="H40" s="52"/>
      <c r="I40" s="50"/>
      <c r="J40" s="50"/>
      <c r="K40" s="50"/>
      <c r="L40" s="50"/>
      <c r="M40" s="50"/>
    </row>
    <row r="41" ht="15.75" customHeight="1">
      <c r="A41" s="48"/>
      <c r="B41" s="53">
        <v>34334.0</v>
      </c>
      <c r="C41" s="54">
        <v>0.16</v>
      </c>
      <c r="D41" s="42"/>
      <c r="E41" s="42"/>
      <c r="G41" s="52"/>
      <c r="H41" s="52"/>
      <c r="I41" s="50"/>
      <c r="J41" s="50"/>
      <c r="K41" s="50"/>
      <c r="L41" s="50"/>
      <c r="M41" s="50"/>
    </row>
    <row r="42" ht="15.75" customHeight="1">
      <c r="A42" s="48"/>
      <c r="B42" s="55">
        <v>34424.0</v>
      </c>
      <c r="C42" s="54">
        <v>0.49</v>
      </c>
      <c r="D42" s="42"/>
      <c r="E42" s="42"/>
      <c r="G42" s="52"/>
      <c r="H42" s="52"/>
      <c r="I42" s="50"/>
      <c r="J42" s="50"/>
      <c r="K42" s="50"/>
      <c r="L42" s="50"/>
      <c r="M42" s="50"/>
    </row>
    <row r="43" ht="15.75" customHeight="1">
      <c r="A43" s="48"/>
      <c r="B43" s="55">
        <v>34515.0</v>
      </c>
      <c r="C43" s="54">
        <v>0.65</v>
      </c>
      <c r="D43" s="42"/>
      <c r="E43" s="42"/>
      <c r="G43" s="52"/>
      <c r="H43" s="52"/>
      <c r="I43" s="50"/>
      <c r="J43" s="50"/>
      <c r="K43" s="50"/>
      <c r="L43" s="50"/>
      <c r="M43" s="50"/>
    </row>
    <row r="44" ht="15.75" customHeight="1">
      <c r="A44" s="48"/>
      <c r="B44" s="55">
        <v>34607.0</v>
      </c>
      <c r="C44" s="54">
        <v>0.65</v>
      </c>
      <c r="D44" s="42"/>
      <c r="E44" s="42"/>
      <c r="G44" s="52"/>
      <c r="H44" s="52"/>
      <c r="I44" s="50"/>
      <c r="J44" s="50"/>
      <c r="K44" s="50"/>
      <c r="L44" s="50"/>
      <c r="M44" s="50"/>
    </row>
    <row r="45" ht="15.75" customHeight="1">
      <c r="A45" s="48"/>
      <c r="B45" s="53">
        <v>34699.0</v>
      </c>
      <c r="C45" s="54">
        <v>0.8</v>
      </c>
      <c r="D45" s="42"/>
      <c r="E45" s="42"/>
      <c r="G45" s="52"/>
      <c r="H45" s="52"/>
      <c r="I45" s="50"/>
      <c r="J45" s="50"/>
      <c r="K45" s="50"/>
      <c r="L45" s="50"/>
      <c r="M45" s="50"/>
    </row>
    <row r="46" ht="15.75" customHeight="1">
      <c r="A46" s="48"/>
      <c r="B46" s="55">
        <v>34789.0</v>
      </c>
      <c r="C46" s="54">
        <v>1.59</v>
      </c>
      <c r="D46" s="42"/>
      <c r="E46" s="42"/>
      <c r="G46" s="52"/>
      <c r="H46" s="52"/>
      <c r="I46" s="50"/>
      <c r="J46" s="50"/>
      <c r="K46" s="50"/>
      <c r="L46" s="50"/>
      <c r="M46" s="50"/>
    </row>
    <row r="47" ht="15.75" customHeight="1">
      <c r="A47" s="48"/>
      <c r="B47" s="55">
        <v>34880.0</v>
      </c>
      <c r="C47" s="54">
        <v>1.41</v>
      </c>
      <c r="D47" s="42"/>
      <c r="E47" s="42"/>
      <c r="G47" s="52"/>
      <c r="H47" s="52"/>
      <c r="I47" s="50"/>
      <c r="J47" s="50"/>
      <c r="K47" s="50"/>
      <c r="L47" s="50"/>
      <c r="M47" s="50"/>
    </row>
    <row r="48" ht="15.75" customHeight="1">
      <c r="A48" s="48"/>
      <c r="B48" s="55">
        <v>34972.0</v>
      </c>
      <c r="C48" s="54">
        <v>1.24</v>
      </c>
      <c r="D48" s="42"/>
      <c r="E48" s="42"/>
      <c r="G48" s="52"/>
      <c r="H48" s="52"/>
      <c r="I48" s="50"/>
      <c r="J48" s="50"/>
      <c r="K48" s="50"/>
      <c r="L48" s="50"/>
      <c r="M48" s="50"/>
    </row>
    <row r="49" ht="15.75" customHeight="1">
      <c r="A49" s="48"/>
      <c r="B49" s="53">
        <v>35064.0</v>
      </c>
      <c r="C49" s="54">
        <v>0.76</v>
      </c>
      <c r="D49" s="42"/>
      <c r="E49" s="42"/>
      <c r="G49" s="52"/>
      <c r="H49" s="52"/>
      <c r="I49" s="50"/>
      <c r="J49" s="50"/>
      <c r="K49" s="50"/>
      <c r="L49" s="50"/>
      <c r="M49" s="50"/>
    </row>
    <row r="50" ht="15.75" customHeight="1">
      <c r="A50" s="48"/>
      <c r="B50" s="55">
        <v>35155.0</v>
      </c>
      <c r="C50" s="54">
        <v>0.3</v>
      </c>
      <c r="D50" s="42"/>
      <c r="E50" s="42"/>
      <c r="G50" s="52"/>
      <c r="H50" s="52"/>
      <c r="I50" s="50"/>
      <c r="J50" s="50"/>
      <c r="K50" s="50"/>
      <c r="L50" s="50"/>
      <c r="M50" s="50"/>
    </row>
    <row r="51" ht="15.75" customHeight="1">
      <c r="A51" s="48"/>
      <c r="B51" s="55">
        <v>35246.0</v>
      </c>
      <c r="C51" s="54">
        <v>0.76</v>
      </c>
      <c r="D51" s="42"/>
      <c r="E51" s="42"/>
      <c r="G51" s="52"/>
      <c r="H51" s="52"/>
      <c r="I51" s="50"/>
      <c r="J51" s="50"/>
      <c r="K51" s="50"/>
      <c r="L51" s="50"/>
      <c r="M51" s="50"/>
    </row>
    <row r="52" ht="15.75" customHeight="1">
      <c r="A52" s="48"/>
      <c r="B52" s="55">
        <v>35338.0</v>
      </c>
      <c r="C52" s="54">
        <v>0.3</v>
      </c>
      <c r="D52" s="42"/>
      <c r="E52" s="42"/>
      <c r="G52" s="52"/>
      <c r="H52" s="52"/>
      <c r="I52" s="50"/>
      <c r="J52" s="50"/>
      <c r="K52" s="50"/>
      <c r="L52" s="50"/>
      <c r="M52" s="50"/>
    </row>
    <row r="53" ht="15.75" customHeight="1">
      <c r="A53" s="48"/>
      <c r="B53" s="53">
        <v>35430.0</v>
      </c>
      <c r="C53" s="54">
        <v>0.15</v>
      </c>
      <c r="D53" s="42"/>
      <c r="E53" s="42"/>
      <c r="G53" s="52"/>
      <c r="H53" s="52"/>
      <c r="I53" s="50"/>
      <c r="J53" s="50"/>
      <c r="K53" s="50"/>
      <c r="L53" s="50"/>
      <c r="M53" s="50"/>
    </row>
    <row r="54" ht="15.75" customHeight="1">
      <c r="A54" s="48"/>
      <c r="B54" s="55">
        <v>35520.0</v>
      </c>
      <c r="C54" s="54">
        <v>0.15</v>
      </c>
      <c r="D54" s="42"/>
      <c r="E54" s="42"/>
      <c r="G54" s="52"/>
      <c r="H54" s="52"/>
      <c r="I54" s="50"/>
      <c r="J54" s="50"/>
      <c r="K54" s="50"/>
      <c r="L54" s="50"/>
      <c r="M54" s="50"/>
    </row>
    <row r="55" ht="15.75" customHeight="1">
      <c r="A55" s="48"/>
      <c r="B55" s="55">
        <v>35611.0</v>
      </c>
      <c r="C55" s="54">
        <v>-0.3</v>
      </c>
      <c r="D55" s="42"/>
      <c r="E55" s="42"/>
      <c r="G55" s="52"/>
      <c r="H55" s="52"/>
      <c r="I55" s="50"/>
      <c r="J55" s="50"/>
      <c r="K55" s="50"/>
      <c r="L55" s="50"/>
      <c r="M55" s="50"/>
    </row>
    <row r="56" ht="15.75" customHeight="1">
      <c r="A56" s="48"/>
      <c r="B56" s="55">
        <v>35703.0</v>
      </c>
      <c r="C56" s="54">
        <v>-0.45</v>
      </c>
      <c r="D56" s="42"/>
      <c r="E56" s="42"/>
      <c r="G56" s="52"/>
      <c r="H56" s="52"/>
      <c r="I56" s="50"/>
      <c r="J56" s="50"/>
      <c r="K56" s="50"/>
      <c r="L56" s="50"/>
      <c r="M56" s="50"/>
    </row>
    <row r="57" ht="15.75" customHeight="1">
      <c r="A57" s="48"/>
      <c r="B57" s="53">
        <v>35795.0</v>
      </c>
      <c r="C57" s="54">
        <v>0.3</v>
      </c>
      <c r="D57" s="42"/>
      <c r="E57" s="42"/>
      <c r="G57" s="52"/>
      <c r="H57" s="52"/>
      <c r="I57" s="50"/>
      <c r="J57" s="50"/>
      <c r="K57" s="50"/>
      <c r="L57" s="50"/>
      <c r="M57" s="50"/>
    </row>
    <row r="58" ht="15.75" customHeight="1">
      <c r="A58" s="48"/>
      <c r="B58" s="55">
        <v>35885.0</v>
      </c>
      <c r="C58" s="54">
        <v>0.3</v>
      </c>
      <c r="D58" s="42"/>
      <c r="E58" s="42"/>
      <c r="G58" s="52"/>
      <c r="H58" s="52"/>
      <c r="I58" s="50"/>
      <c r="J58" s="50"/>
      <c r="K58" s="50"/>
      <c r="L58" s="50"/>
      <c r="M58" s="50"/>
    </row>
    <row r="59" ht="15.75" customHeight="1">
      <c r="A59" s="48"/>
      <c r="B59" s="55">
        <v>35976.0</v>
      </c>
      <c r="C59" s="54">
        <v>0.6</v>
      </c>
      <c r="D59" s="42"/>
      <c r="E59" s="42"/>
      <c r="G59" s="52"/>
      <c r="H59" s="52"/>
      <c r="I59" s="50"/>
      <c r="J59" s="50"/>
      <c r="K59" s="50"/>
      <c r="L59" s="50"/>
      <c r="M59" s="50"/>
    </row>
    <row r="60" ht="15.75" customHeight="1">
      <c r="A60" s="48"/>
      <c r="B60" s="55">
        <v>36068.0</v>
      </c>
      <c r="C60" s="54">
        <v>0.15</v>
      </c>
      <c r="D60" s="42"/>
      <c r="E60" s="42"/>
      <c r="G60" s="52"/>
      <c r="H60" s="52"/>
      <c r="I60" s="50"/>
      <c r="J60" s="50"/>
      <c r="K60" s="50"/>
      <c r="L60" s="50"/>
      <c r="M60" s="50"/>
    </row>
    <row r="61" ht="15.75" customHeight="1">
      <c r="A61" s="48"/>
      <c r="B61" s="53">
        <v>36160.0</v>
      </c>
      <c r="C61" s="54">
        <v>0.44</v>
      </c>
      <c r="D61" s="42"/>
      <c r="E61" s="42"/>
      <c r="G61" s="52"/>
      <c r="H61" s="52"/>
      <c r="I61" s="50"/>
      <c r="J61" s="50"/>
      <c r="K61" s="50"/>
      <c r="L61" s="50"/>
      <c r="M61" s="50"/>
    </row>
    <row r="62" ht="15.75" customHeight="1">
      <c r="A62" s="48"/>
      <c r="B62" s="55">
        <v>36250.0</v>
      </c>
      <c r="C62" s="54">
        <v>0.0</v>
      </c>
      <c r="D62" s="42"/>
      <c r="E62" s="42"/>
      <c r="G62" s="52"/>
      <c r="H62" s="52"/>
      <c r="I62" s="50"/>
      <c r="J62" s="50"/>
      <c r="K62" s="50"/>
      <c r="L62" s="50"/>
      <c r="M62" s="50"/>
    </row>
    <row r="63" ht="15.75" customHeight="1">
      <c r="A63" s="48"/>
      <c r="B63" s="55">
        <v>36341.0</v>
      </c>
      <c r="C63" s="54">
        <v>0.44</v>
      </c>
      <c r="D63" s="42"/>
      <c r="E63" s="42"/>
      <c r="G63" s="52"/>
      <c r="H63" s="52"/>
      <c r="I63" s="50"/>
      <c r="J63" s="50"/>
      <c r="K63" s="50"/>
      <c r="L63" s="50"/>
      <c r="M63" s="50"/>
    </row>
    <row r="64" ht="15.75" customHeight="1">
      <c r="A64" s="48"/>
      <c r="B64" s="55">
        <v>36433.0</v>
      </c>
      <c r="C64" s="54">
        <v>0.88</v>
      </c>
      <c r="D64" s="42"/>
      <c r="E64" s="42"/>
      <c r="G64" s="52"/>
      <c r="H64" s="52"/>
      <c r="I64" s="50"/>
      <c r="J64" s="50"/>
      <c r="K64" s="50"/>
      <c r="L64" s="50"/>
      <c r="M64" s="50"/>
    </row>
    <row r="65" ht="15.75" customHeight="1">
      <c r="A65" s="48"/>
      <c r="B65" s="53">
        <v>36525.0</v>
      </c>
      <c r="C65" s="54">
        <v>0.58</v>
      </c>
      <c r="D65" s="42"/>
      <c r="E65" s="42"/>
      <c r="G65" s="52"/>
      <c r="H65" s="52"/>
      <c r="I65" s="50"/>
      <c r="J65" s="50"/>
      <c r="K65" s="50"/>
      <c r="L65" s="50"/>
      <c r="M65" s="50"/>
    </row>
    <row r="66" ht="15.75" customHeight="1">
      <c r="A66" s="48"/>
      <c r="B66" s="55">
        <v>36616.0</v>
      </c>
      <c r="C66" s="54">
        <v>0.87</v>
      </c>
      <c r="D66" s="42"/>
      <c r="E66" s="42"/>
      <c r="G66" s="52"/>
      <c r="H66" s="52"/>
      <c r="I66" s="50"/>
      <c r="J66" s="50"/>
      <c r="K66" s="50"/>
      <c r="L66" s="50"/>
      <c r="M66" s="50"/>
    </row>
    <row r="67" ht="15.75" customHeight="1">
      <c r="A67" s="48"/>
      <c r="B67" s="55">
        <v>36707.0</v>
      </c>
      <c r="C67" s="54">
        <v>0.72</v>
      </c>
      <c r="D67" s="42"/>
      <c r="E67" s="42"/>
      <c r="G67" s="52"/>
      <c r="H67" s="52"/>
      <c r="I67" s="50"/>
      <c r="J67" s="50"/>
      <c r="K67" s="50"/>
      <c r="L67" s="50"/>
      <c r="M67" s="50"/>
    </row>
    <row r="68" ht="15.75" customHeight="1">
      <c r="A68" s="48"/>
      <c r="B68" s="55">
        <v>36799.0</v>
      </c>
      <c r="C68" s="54">
        <v>3.85</v>
      </c>
      <c r="D68" s="42"/>
      <c r="E68" s="42"/>
      <c r="G68" s="52"/>
      <c r="H68" s="52"/>
      <c r="I68" s="50"/>
      <c r="J68" s="50"/>
      <c r="K68" s="50"/>
      <c r="L68" s="50"/>
      <c r="M68" s="50"/>
    </row>
    <row r="69" ht="15.75" customHeight="1">
      <c r="A69" s="48"/>
      <c r="B69" s="53">
        <v>36891.0</v>
      </c>
      <c r="C69" s="54">
        <v>0.27</v>
      </c>
      <c r="D69" s="42"/>
      <c r="E69" s="42"/>
      <c r="G69" s="52"/>
      <c r="H69" s="52"/>
      <c r="I69" s="50"/>
      <c r="J69" s="50"/>
      <c r="K69" s="50"/>
      <c r="L69" s="50"/>
      <c r="M69" s="50"/>
    </row>
    <row r="70" ht="15.75" customHeight="1">
      <c r="A70" s="48"/>
      <c r="B70" s="55">
        <v>36981.0</v>
      </c>
      <c r="C70" s="54">
        <v>1.09</v>
      </c>
      <c r="D70" s="42"/>
      <c r="E70" s="42"/>
      <c r="G70" s="52"/>
      <c r="H70" s="52"/>
      <c r="I70" s="50"/>
      <c r="J70" s="50"/>
      <c r="K70" s="50"/>
      <c r="L70" s="50"/>
      <c r="M70" s="50"/>
    </row>
    <row r="71" ht="15.75" customHeight="1">
      <c r="A71" s="48"/>
      <c r="B71" s="55">
        <v>37072.0</v>
      </c>
      <c r="C71" s="54">
        <v>0.81</v>
      </c>
      <c r="D71" s="42"/>
      <c r="E71" s="42"/>
      <c r="G71" s="52"/>
      <c r="H71" s="52"/>
      <c r="I71" s="50"/>
      <c r="J71" s="50"/>
      <c r="K71" s="50"/>
      <c r="L71" s="50"/>
      <c r="M71" s="50"/>
    </row>
    <row r="72" ht="15.75" customHeight="1">
      <c r="A72" s="48"/>
      <c r="B72" s="55">
        <v>37164.0</v>
      </c>
      <c r="C72" s="54">
        <v>0.27</v>
      </c>
      <c r="D72" s="42"/>
      <c r="E72" s="42"/>
      <c r="G72" s="52"/>
      <c r="H72" s="52"/>
      <c r="I72" s="50"/>
      <c r="J72" s="50"/>
      <c r="K72" s="50"/>
      <c r="L72" s="50"/>
      <c r="M72" s="50"/>
    </row>
    <row r="73" ht="15.75" customHeight="1">
      <c r="A73" s="48"/>
      <c r="B73" s="53">
        <v>37256.0</v>
      </c>
      <c r="C73" s="54">
        <v>0.94</v>
      </c>
      <c r="D73" s="42"/>
      <c r="E73" s="42"/>
      <c r="G73" s="52"/>
      <c r="H73" s="52"/>
      <c r="I73" s="50"/>
      <c r="J73" s="50"/>
      <c r="K73" s="50"/>
      <c r="L73" s="50"/>
      <c r="M73" s="50"/>
    </row>
    <row r="74" ht="15.75" customHeight="1">
      <c r="A74" s="48"/>
      <c r="B74" s="55">
        <v>37346.0</v>
      </c>
      <c r="C74" s="54">
        <v>0.93</v>
      </c>
      <c r="D74" s="42"/>
      <c r="E74" s="42"/>
      <c r="G74" s="52"/>
      <c r="H74" s="52"/>
      <c r="I74" s="50"/>
      <c r="J74" s="50"/>
      <c r="K74" s="50"/>
      <c r="L74" s="50"/>
      <c r="M74" s="50"/>
    </row>
    <row r="75" ht="15.75" customHeight="1">
      <c r="A75" s="48"/>
      <c r="B75" s="55">
        <v>37437.0</v>
      </c>
      <c r="C75" s="54">
        <v>0.66</v>
      </c>
      <c r="D75" s="42"/>
      <c r="E75" s="42"/>
      <c r="G75" s="52"/>
      <c r="H75" s="52"/>
      <c r="I75" s="50"/>
      <c r="J75" s="50"/>
      <c r="K75" s="50"/>
      <c r="L75" s="50"/>
      <c r="M75" s="50"/>
    </row>
    <row r="76" ht="15.75" customHeight="1">
      <c r="A76" s="48"/>
      <c r="B76" s="55">
        <v>37529.0</v>
      </c>
      <c r="C76" s="54">
        <v>0.65</v>
      </c>
      <c r="D76" s="42"/>
      <c r="E76" s="42"/>
      <c r="G76" s="52"/>
      <c r="H76" s="52"/>
      <c r="I76" s="50"/>
      <c r="J76" s="50"/>
      <c r="K76" s="50"/>
      <c r="L76" s="50"/>
      <c r="M76" s="50"/>
    </row>
    <row r="77" ht="15.75" customHeight="1">
      <c r="A77" s="48"/>
      <c r="B77" s="53">
        <v>37621.0</v>
      </c>
      <c r="C77" s="54">
        <v>0.65</v>
      </c>
      <c r="D77" s="42"/>
      <c r="E77" s="42"/>
      <c r="G77" s="52"/>
      <c r="H77" s="52"/>
      <c r="I77" s="50"/>
      <c r="J77" s="50"/>
      <c r="K77" s="50"/>
      <c r="L77" s="50"/>
      <c r="M77" s="50"/>
    </row>
    <row r="78" ht="15.75" customHeight="1">
      <c r="A78" s="48"/>
      <c r="B78" s="55">
        <v>37711.0</v>
      </c>
      <c r="C78" s="54">
        <v>1.29</v>
      </c>
      <c r="D78" s="42"/>
      <c r="E78" s="42"/>
      <c r="G78" s="52"/>
      <c r="H78" s="52"/>
      <c r="I78" s="50"/>
      <c r="J78" s="50"/>
      <c r="K78" s="50"/>
      <c r="L78" s="50"/>
      <c r="M78" s="50"/>
    </row>
    <row r="79" ht="15.75" customHeight="1">
      <c r="A79" s="48"/>
      <c r="B79" s="55">
        <v>37802.0</v>
      </c>
      <c r="C79" s="54">
        <v>0.0</v>
      </c>
      <c r="D79" s="42"/>
      <c r="E79" s="42"/>
      <c r="G79" s="52"/>
      <c r="H79" s="52"/>
      <c r="I79" s="50"/>
      <c r="J79" s="50"/>
      <c r="K79" s="50"/>
      <c r="L79" s="50"/>
      <c r="M79" s="50"/>
    </row>
    <row r="80" ht="15.75" customHeight="1">
      <c r="A80" s="48"/>
      <c r="B80" s="55">
        <v>37894.0</v>
      </c>
      <c r="C80" s="54">
        <v>0.64</v>
      </c>
      <c r="D80" s="42"/>
      <c r="E80" s="42"/>
      <c r="G80" s="52"/>
      <c r="H80" s="52"/>
      <c r="I80" s="50"/>
      <c r="J80" s="50"/>
      <c r="K80" s="50"/>
      <c r="L80" s="50"/>
      <c r="M80" s="50"/>
    </row>
    <row r="81" ht="15.75" customHeight="1">
      <c r="A81" s="48"/>
      <c r="B81" s="53">
        <v>37986.0</v>
      </c>
      <c r="C81" s="54">
        <v>0.51</v>
      </c>
      <c r="D81" s="42"/>
      <c r="E81" s="42"/>
      <c r="G81" s="52"/>
      <c r="H81" s="52"/>
      <c r="I81" s="50"/>
      <c r="J81" s="50"/>
      <c r="K81" s="50"/>
      <c r="L81" s="50"/>
      <c r="M81" s="50"/>
    </row>
    <row r="82" ht="15.75" customHeight="1">
      <c r="A82" s="48"/>
      <c r="B82" s="55">
        <v>38077.0</v>
      </c>
      <c r="C82" s="54">
        <v>0.88</v>
      </c>
      <c r="D82" s="42"/>
      <c r="E82" s="42"/>
      <c r="G82" s="52"/>
      <c r="H82" s="52"/>
      <c r="I82" s="50"/>
      <c r="J82" s="50"/>
      <c r="K82" s="50"/>
      <c r="L82" s="50"/>
      <c r="M82" s="50"/>
    </row>
    <row r="83" ht="15.75" customHeight="1">
      <c r="A83" s="48"/>
      <c r="B83" s="55">
        <v>38168.0</v>
      </c>
      <c r="C83" s="54">
        <v>0.5</v>
      </c>
      <c r="D83" s="42"/>
      <c r="E83" s="42"/>
      <c r="G83" s="52"/>
      <c r="H83" s="52"/>
      <c r="I83" s="50"/>
      <c r="J83" s="50"/>
      <c r="K83" s="50"/>
      <c r="L83" s="50"/>
      <c r="M83" s="50"/>
    </row>
    <row r="84" ht="15.75" customHeight="1">
      <c r="A84" s="48"/>
      <c r="B84" s="55">
        <v>38260.0</v>
      </c>
      <c r="C84" s="54">
        <v>0.37</v>
      </c>
      <c r="D84" s="42"/>
      <c r="E84" s="42"/>
      <c r="G84" s="52"/>
      <c r="H84" s="52"/>
      <c r="I84" s="50"/>
      <c r="J84" s="50"/>
      <c r="K84" s="50"/>
      <c r="L84" s="50"/>
      <c r="M84" s="50"/>
    </row>
    <row r="85" ht="15.75" customHeight="1">
      <c r="A85" s="48"/>
      <c r="B85" s="53">
        <v>38352.0</v>
      </c>
      <c r="C85" s="54">
        <v>0.74</v>
      </c>
      <c r="D85" s="42"/>
      <c r="E85" s="42"/>
      <c r="G85" s="52"/>
      <c r="H85" s="52"/>
      <c r="I85" s="50"/>
      <c r="J85" s="50"/>
      <c r="K85" s="50"/>
      <c r="L85" s="50"/>
      <c r="M85" s="50"/>
    </row>
    <row r="86" ht="15.75" customHeight="1">
      <c r="A86" s="48"/>
      <c r="B86" s="55">
        <v>38442.0</v>
      </c>
      <c r="C86" s="54">
        <v>0.74</v>
      </c>
      <c r="D86" s="42"/>
      <c r="E86" s="42"/>
      <c r="G86" s="52"/>
      <c r="H86" s="52"/>
      <c r="I86" s="50"/>
      <c r="J86" s="50"/>
      <c r="K86" s="50"/>
      <c r="L86" s="50"/>
      <c r="M86" s="50"/>
    </row>
    <row r="87" ht="15.75" customHeight="1">
      <c r="A87" s="48"/>
      <c r="B87" s="55">
        <v>38533.0</v>
      </c>
      <c r="C87" s="54">
        <v>0.61</v>
      </c>
      <c r="D87" s="42"/>
      <c r="E87" s="42"/>
      <c r="G87" s="52"/>
      <c r="H87" s="52"/>
      <c r="I87" s="50"/>
      <c r="J87" s="50"/>
      <c r="K87" s="50"/>
      <c r="L87" s="50"/>
      <c r="M87" s="50"/>
    </row>
    <row r="88" ht="15.75" customHeight="1">
      <c r="A88" s="48"/>
      <c r="B88" s="55">
        <v>38625.0</v>
      </c>
      <c r="C88" s="54">
        <v>0.97</v>
      </c>
      <c r="D88" s="42"/>
      <c r="E88" s="42"/>
      <c r="G88" s="52"/>
      <c r="H88" s="52"/>
      <c r="I88" s="50"/>
      <c r="J88" s="50"/>
      <c r="K88" s="50"/>
      <c r="L88" s="50"/>
      <c r="M88" s="50"/>
    </row>
    <row r="89" ht="15.75" customHeight="1">
      <c r="A89" s="48"/>
      <c r="B89" s="53">
        <v>38717.0</v>
      </c>
      <c r="C89" s="54">
        <v>0.48</v>
      </c>
      <c r="D89" s="42"/>
      <c r="E89" s="42"/>
      <c r="G89" s="52"/>
      <c r="H89" s="52"/>
      <c r="I89" s="50"/>
      <c r="J89" s="50"/>
      <c r="K89" s="50"/>
      <c r="L89" s="50"/>
      <c r="M89" s="50"/>
    </row>
    <row r="90" ht="15.75" customHeight="1">
      <c r="A90" s="48"/>
      <c r="B90" s="55">
        <v>38807.0</v>
      </c>
      <c r="C90" s="54">
        <v>0.84</v>
      </c>
      <c r="D90" s="42"/>
      <c r="E90" s="42"/>
      <c r="G90" s="52"/>
      <c r="H90" s="52"/>
      <c r="I90" s="50"/>
      <c r="J90" s="50"/>
      <c r="K90" s="50"/>
      <c r="L90" s="50"/>
      <c r="M90" s="50"/>
    </row>
    <row r="91" ht="15.75" customHeight="1">
      <c r="A91" s="48"/>
      <c r="B91" s="55">
        <v>38898.0</v>
      </c>
      <c r="C91" s="54">
        <v>1.66</v>
      </c>
      <c r="D91" s="42"/>
      <c r="E91" s="42"/>
      <c r="G91" s="52"/>
      <c r="H91" s="52"/>
      <c r="I91" s="50"/>
      <c r="J91" s="50"/>
      <c r="K91" s="50"/>
      <c r="L91" s="50"/>
      <c r="M91" s="50"/>
    </row>
    <row r="92" ht="15.75" customHeight="1">
      <c r="A92" s="48"/>
      <c r="B92" s="55">
        <v>38990.0</v>
      </c>
      <c r="C92" s="54">
        <v>0.93</v>
      </c>
      <c r="D92" s="42"/>
      <c r="E92" s="42"/>
      <c r="G92" s="52"/>
      <c r="H92" s="52"/>
      <c r="I92" s="50"/>
      <c r="J92" s="50"/>
      <c r="K92" s="50"/>
      <c r="L92" s="50"/>
      <c r="M92" s="50"/>
    </row>
    <row r="93" ht="15.75" customHeight="1">
      <c r="A93" s="48"/>
      <c r="B93" s="53">
        <v>39082.0</v>
      </c>
      <c r="C93" s="54">
        <v>-0.12</v>
      </c>
      <c r="D93" s="42"/>
      <c r="E93" s="42"/>
      <c r="G93" s="50"/>
      <c r="H93" s="52"/>
      <c r="I93" s="50"/>
      <c r="J93" s="50"/>
      <c r="K93" s="50"/>
      <c r="L93" s="50"/>
      <c r="M93" s="50"/>
    </row>
    <row r="94" ht="15.75" customHeight="1">
      <c r="A94" s="48"/>
      <c r="B94" s="55">
        <v>39172.0</v>
      </c>
      <c r="C94" s="54">
        <v>0.0</v>
      </c>
      <c r="D94" s="42"/>
      <c r="E94" s="42"/>
      <c r="G94" s="50"/>
      <c r="H94" s="52"/>
      <c r="I94" s="50"/>
      <c r="J94" s="50"/>
      <c r="K94" s="50"/>
      <c r="L94" s="50"/>
      <c r="M94" s="50"/>
    </row>
    <row r="95" ht="15.75" customHeight="1">
      <c r="A95" s="48"/>
      <c r="B95" s="55">
        <v>39263.0</v>
      </c>
      <c r="C95" s="54">
        <v>1.27</v>
      </c>
      <c r="D95" s="42"/>
      <c r="E95" s="42"/>
      <c r="G95" s="50"/>
      <c r="H95" s="52"/>
      <c r="I95" s="50"/>
      <c r="J95" s="50"/>
      <c r="K95" s="50"/>
      <c r="L95" s="50"/>
      <c r="M95" s="50"/>
    </row>
    <row r="96" ht="15.75" customHeight="1">
      <c r="A96" s="48"/>
      <c r="B96" s="55">
        <v>39355.0</v>
      </c>
      <c r="C96" s="54">
        <v>0.68</v>
      </c>
      <c r="D96" s="42"/>
      <c r="E96" s="42"/>
      <c r="G96" s="50"/>
      <c r="H96" s="50"/>
      <c r="I96" s="50"/>
      <c r="J96" s="50"/>
      <c r="K96" s="50"/>
      <c r="L96" s="50"/>
      <c r="M96" s="50"/>
    </row>
    <row r="97" ht="15.75" customHeight="1">
      <c r="A97" s="48"/>
      <c r="B97" s="53">
        <v>39447.0</v>
      </c>
      <c r="C97" s="54">
        <v>0.91</v>
      </c>
      <c r="D97" s="42"/>
      <c r="E97" s="42"/>
      <c r="G97" s="50"/>
      <c r="H97" s="50"/>
      <c r="I97" s="50"/>
      <c r="J97" s="50"/>
      <c r="K97" s="50"/>
      <c r="L97" s="50"/>
      <c r="M97" s="50"/>
    </row>
    <row r="98" ht="15.75" customHeight="1">
      <c r="A98" s="48"/>
      <c r="B98" s="55">
        <v>39538.0</v>
      </c>
      <c r="C98" s="54">
        <v>1.35</v>
      </c>
      <c r="D98" s="42"/>
      <c r="E98" s="42"/>
      <c r="G98" s="50"/>
      <c r="H98" s="50"/>
      <c r="I98" s="50"/>
      <c r="J98" s="50"/>
      <c r="K98" s="50"/>
      <c r="L98" s="50"/>
      <c r="M98" s="50"/>
    </row>
    <row r="99" ht="15.75" customHeight="1">
      <c r="A99" s="48"/>
      <c r="B99" s="55">
        <v>39629.0</v>
      </c>
      <c r="C99" s="54">
        <v>1.44</v>
      </c>
      <c r="D99" s="42"/>
      <c r="E99" s="42"/>
      <c r="G99" s="50"/>
      <c r="H99" s="50"/>
      <c r="I99" s="50"/>
      <c r="J99" s="50"/>
      <c r="K99" s="50"/>
      <c r="L99" s="50"/>
      <c r="M99" s="50"/>
    </row>
    <row r="100" ht="15.75" customHeight="1">
      <c r="A100" s="48"/>
      <c r="B100" s="55">
        <v>39721.0</v>
      </c>
      <c r="C100" s="54">
        <v>1.2</v>
      </c>
      <c r="D100" s="42"/>
      <c r="E100" s="42"/>
      <c r="G100" s="50"/>
      <c r="H100" s="50"/>
      <c r="I100" s="50"/>
      <c r="J100" s="50"/>
      <c r="K100" s="50"/>
      <c r="L100" s="50"/>
      <c r="M100" s="50"/>
    </row>
    <row r="101" ht="15.75" customHeight="1">
      <c r="A101" s="48"/>
      <c r="B101" s="53">
        <v>39813.0</v>
      </c>
      <c r="C101" s="54">
        <v>-0.32</v>
      </c>
      <c r="D101" s="42"/>
      <c r="E101" s="42"/>
      <c r="G101" s="50"/>
      <c r="H101" s="50"/>
      <c r="I101" s="50"/>
      <c r="J101" s="50"/>
      <c r="K101" s="50"/>
      <c r="L101" s="50"/>
      <c r="M101" s="50"/>
    </row>
    <row r="102" ht="15.75" customHeight="1">
      <c r="A102" s="48"/>
      <c r="B102" s="55">
        <v>39903.0</v>
      </c>
      <c r="C102" s="54">
        <v>0.11</v>
      </c>
      <c r="D102" s="42"/>
      <c r="E102" s="42"/>
      <c r="G102" s="50"/>
      <c r="H102" s="50"/>
      <c r="I102" s="50"/>
      <c r="J102" s="50"/>
      <c r="K102" s="50"/>
      <c r="L102" s="50"/>
      <c r="M102" s="50"/>
    </row>
    <row r="103" ht="15.75" customHeight="1">
      <c r="A103" s="48"/>
      <c r="B103" s="55">
        <v>39994.0</v>
      </c>
      <c r="C103" s="54">
        <v>0.43</v>
      </c>
      <c r="D103" s="42"/>
      <c r="E103" s="42"/>
      <c r="G103" s="50"/>
      <c r="H103" s="50"/>
      <c r="I103" s="50"/>
      <c r="J103" s="50"/>
      <c r="K103" s="50"/>
      <c r="L103" s="50"/>
      <c r="M103" s="50"/>
    </row>
    <row r="104" ht="15.75" customHeight="1">
      <c r="A104" s="48"/>
      <c r="B104" s="55">
        <v>40086.0</v>
      </c>
      <c r="C104" s="54">
        <v>0.97</v>
      </c>
      <c r="D104" s="42"/>
      <c r="E104" s="42"/>
      <c r="G104" s="50"/>
      <c r="H104" s="50"/>
      <c r="I104" s="50"/>
      <c r="J104" s="50"/>
      <c r="K104" s="50"/>
      <c r="L104" s="50"/>
      <c r="M104" s="50"/>
    </row>
    <row r="105" ht="15.75" customHeight="1">
      <c r="A105" s="48"/>
      <c r="B105" s="53">
        <v>40178.0</v>
      </c>
      <c r="C105" s="54">
        <v>0.53</v>
      </c>
      <c r="D105" s="42"/>
      <c r="E105" s="42"/>
      <c r="G105" s="50"/>
      <c r="H105" s="50"/>
      <c r="I105" s="50"/>
      <c r="J105" s="50"/>
      <c r="K105" s="50"/>
      <c r="L105" s="50"/>
      <c r="M105" s="50"/>
    </row>
    <row r="106" ht="15.75" customHeight="1">
      <c r="A106" s="48"/>
      <c r="B106" s="55">
        <v>40268.0</v>
      </c>
      <c r="C106" s="54">
        <v>0.95</v>
      </c>
      <c r="D106" s="42"/>
      <c r="E106" s="42"/>
      <c r="G106" s="50"/>
      <c r="H106" s="50"/>
      <c r="I106" s="50"/>
      <c r="J106" s="50"/>
      <c r="K106" s="50"/>
      <c r="L106" s="50"/>
      <c r="M106" s="50"/>
    </row>
    <row r="107" ht="15.75" customHeight="1">
      <c r="A107" s="48"/>
      <c r="B107" s="55">
        <v>40359.0</v>
      </c>
      <c r="C107" s="54">
        <v>0.63</v>
      </c>
      <c r="D107" s="42"/>
      <c r="E107" s="42"/>
      <c r="G107" s="50"/>
      <c r="H107" s="50"/>
      <c r="I107" s="50"/>
      <c r="J107" s="50"/>
      <c r="K107" s="50"/>
      <c r="L107" s="50"/>
      <c r="M107" s="50"/>
    </row>
    <row r="108" ht="15.75" customHeight="1">
      <c r="A108" s="48"/>
      <c r="B108" s="55">
        <v>40451.0</v>
      </c>
      <c r="C108" s="54">
        <v>0.73</v>
      </c>
      <c r="D108" s="42"/>
      <c r="E108" s="42"/>
      <c r="G108" s="50"/>
      <c r="H108" s="50"/>
      <c r="I108" s="50"/>
      <c r="J108" s="50"/>
      <c r="K108" s="50"/>
      <c r="L108" s="50"/>
      <c r="M108" s="50"/>
    </row>
    <row r="109" ht="15.75" customHeight="1">
      <c r="A109" s="48"/>
      <c r="B109" s="53">
        <v>40543.0</v>
      </c>
      <c r="C109" s="54">
        <v>0.41</v>
      </c>
      <c r="D109" s="42"/>
      <c r="E109" s="42"/>
      <c r="G109" s="50"/>
      <c r="H109" s="50"/>
      <c r="I109" s="50"/>
      <c r="J109" s="50"/>
      <c r="K109" s="50"/>
      <c r="L109" s="50"/>
      <c r="M109" s="50"/>
    </row>
    <row r="110" ht="15.75" customHeight="1">
      <c r="A110" s="48"/>
      <c r="B110" s="55">
        <v>40633.0</v>
      </c>
      <c r="C110" s="54">
        <v>1.44</v>
      </c>
      <c r="D110" s="42"/>
      <c r="E110" s="42"/>
      <c r="G110" s="50"/>
      <c r="H110" s="50"/>
      <c r="I110" s="50"/>
      <c r="J110" s="50"/>
      <c r="K110" s="50"/>
      <c r="L110" s="50"/>
      <c r="M110" s="50"/>
    </row>
    <row r="111" ht="15.75" customHeight="1">
      <c r="A111" s="48"/>
      <c r="B111" s="55">
        <v>40724.0</v>
      </c>
      <c r="C111" s="54">
        <v>0.92</v>
      </c>
      <c r="D111" s="42"/>
      <c r="E111" s="42"/>
      <c r="G111" s="50"/>
      <c r="H111" s="50"/>
      <c r="I111" s="50"/>
      <c r="J111" s="50"/>
      <c r="K111" s="50"/>
      <c r="L111" s="50"/>
      <c r="M111" s="50"/>
    </row>
    <row r="112" ht="15.75" customHeight="1">
      <c r="A112" s="48"/>
      <c r="B112" s="55">
        <v>40816.0</v>
      </c>
      <c r="C112" s="54">
        <v>0.6</v>
      </c>
      <c r="D112" s="42"/>
      <c r="E112" s="42"/>
      <c r="G112" s="50"/>
      <c r="H112" s="50"/>
      <c r="I112" s="50"/>
      <c r="J112" s="50"/>
      <c r="K112" s="50"/>
      <c r="L112" s="50"/>
      <c r="M112" s="50"/>
    </row>
    <row r="113" ht="15.75" customHeight="1">
      <c r="A113" s="48"/>
      <c r="B113" s="53">
        <v>40908.0</v>
      </c>
      <c r="C113" s="54">
        <v>0.0</v>
      </c>
      <c r="D113" s="42"/>
      <c r="E113" s="42"/>
      <c r="G113" s="50"/>
      <c r="H113" s="50"/>
      <c r="I113" s="50"/>
      <c r="J113" s="50"/>
      <c r="K113" s="50"/>
      <c r="L113" s="50"/>
      <c r="M113" s="50"/>
    </row>
    <row r="114" ht="15.75" customHeight="1">
      <c r="A114" s="48"/>
      <c r="B114" s="55">
        <v>40999.0</v>
      </c>
      <c r="C114" s="54">
        <v>0.1</v>
      </c>
      <c r="D114" s="42"/>
      <c r="E114" s="42"/>
      <c r="G114" s="50"/>
      <c r="H114" s="50"/>
      <c r="I114" s="50"/>
      <c r="J114" s="50"/>
      <c r="K114" s="50"/>
      <c r="L114" s="50"/>
      <c r="M114" s="50"/>
    </row>
    <row r="115" ht="15.75" customHeight="1">
      <c r="A115" s="48"/>
      <c r="B115" s="55">
        <v>41090.0</v>
      </c>
      <c r="C115" s="54">
        <v>0.5</v>
      </c>
      <c r="D115" s="42"/>
      <c r="E115" s="42"/>
      <c r="G115" s="50"/>
      <c r="H115" s="50"/>
      <c r="I115" s="50"/>
      <c r="J115" s="50"/>
      <c r="K115" s="50"/>
      <c r="L115" s="50"/>
      <c r="M115" s="50"/>
    </row>
    <row r="116" ht="15.75" customHeight="1">
      <c r="A116" s="48"/>
      <c r="B116" s="55">
        <v>41182.0</v>
      </c>
      <c r="C116" s="54">
        <v>1.39</v>
      </c>
      <c r="D116" s="42"/>
      <c r="E116" s="42"/>
      <c r="G116" s="50"/>
      <c r="H116" s="50"/>
      <c r="I116" s="50"/>
      <c r="J116" s="50"/>
      <c r="K116" s="50"/>
      <c r="L116" s="50"/>
      <c r="M116" s="50"/>
    </row>
    <row r="117" ht="15.75" customHeight="1">
      <c r="A117" s="48"/>
      <c r="B117" s="53">
        <v>41274.0</v>
      </c>
      <c r="C117" s="54">
        <v>0.2</v>
      </c>
      <c r="D117" s="42"/>
      <c r="E117" s="42"/>
      <c r="G117" s="50"/>
      <c r="H117" s="50"/>
      <c r="I117" s="50"/>
      <c r="J117" s="50"/>
      <c r="K117" s="50"/>
      <c r="L117" s="50"/>
      <c r="M117" s="50"/>
    </row>
    <row r="118" ht="15.75" customHeight="1">
      <c r="A118" s="48"/>
      <c r="B118" s="55">
        <v>41364.0</v>
      </c>
      <c r="C118" s="54">
        <v>0.39</v>
      </c>
      <c r="D118" s="42"/>
      <c r="E118" s="42"/>
      <c r="G118" s="50"/>
      <c r="H118" s="50"/>
      <c r="I118" s="50"/>
      <c r="J118" s="50"/>
      <c r="K118" s="50"/>
      <c r="L118" s="50"/>
      <c r="M118" s="50"/>
    </row>
    <row r="119" ht="15.75" customHeight="1">
      <c r="A119" s="48"/>
      <c r="B119" s="55">
        <v>41455.0</v>
      </c>
      <c r="C119" s="54">
        <v>0.4</v>
      </c>
      <c r="D119" s="42"/>
      <c r="E119" s="42"/>
      <c r="G119" s="50"/>
      <c r="H119" s="50"/>
      <c r="I119" s="50"/>
      <c r="J119" s="50"/>
      <c r="K119" s="50"/>
      <c r="L119" s="50"/>
      <c r="M119" s="50"/>
    </row>
    <row r="120" ht="15.75" customHeight="1">
      <c r="A120" s="48"/>
      <c r="B120" s="55">
        <v>41547.0</v>
      </c>
      <c r="C120" s="54">
        <v>1.17</v>
      </c>
      <c r="D120" s="42"/>
      <c r="E120" s="42"/>
      <c r="G120" s="50"/>
      <c r="H120" s="50"/>
      <c r="I120" s="50"/>
      <c r="J120" s="50"/>
      <c r="K120" s="50"/>
      <c r="L120" s="50"/>
      <c r="M120" s="50"/>
    </row>
    <row r="121" ht="15.75" customHeight="1">
      <c r="A121" s="48"/>
      <c r="B121" s="53">
        <v>41639.0</v>
      </c>
      <c r="C121" s="54">
        <v>0.77</v>
      </c>
      <c r="D121" s="42"/>
      <c r="E121" s="42"/>
      <c r="G121" s="50"/>
      <c r="H121" s="50"/>
      <c r="I121" s="50"/>
      <c r="J121" s="50"/>
      <c r="K121" s="50"/>
      <c r="L121" s="50"/>
      <c r="M121" s="50"/>
    </row>
    <row r="122" ht="15.75" customHeight="1">
      <c r="A122" s="48"/>
      <c r="B122" s="55">
        <v>41729.0</v>
      </c>
      <c r="C122" s="54">
        <v>0.6</v>
      </c>
      <c r="D122" s="42"/>
      <c r="E122" s="42"/>
      <c r="G122" s="50"/>
      <c r="H122" s="50"/>
      <c r="I122" s="50"/>
      <c r="J122" s="50"/>
      <c r="K122" s="50"/>
      <c r="L122" s="50"/>
      <c r="M122" s="50"/>
    </row>
    <row r="123" ht="15.75" customHeight="1">
      <c r="A123" s="48"/>
      <c r="B123" s="55">
        <v>41820.0</v>
      </c>
      <c r="C123" s="54">
        <v>0.5</v>
      </c>
      <c r="D123" s="42"/>
      <c r="E123" s="42"/>
      <c r="G123" s="50"/>
      <c r="H123" s="50"/>
      <c r="I123" s="50"/>
      <c r="J123" s="50"/>
      <c r="K123" s="50"/>
      <c r="L123" s="50"/>
      <c r="M123" s="50"/>
    </row>
    <row r="124" ht="15.75" customHeight="1">
      <c r="A124" s="48"/>
      <c r="B124" s="55">
        <v>41912.0</v>
      </c>
      <c r="C124" s="54">
        <v>0.5</v>
      </c>
      <c r="D124" s="42"/>
      <c r="E124" s="42"/>
      <c r="G124" s="50"/>
      <c r="H124" s="50"/>
      <c r="I124" s="50"/>
      <c r="J124" s="50"/>
      <c r="K124" s="50"/>
      <c r="L124" s="50"/>
      <c r="M124" s="50"/>
    </row>
    <row r="125" ht="15.75" customHeight="1">
      <c r="A125" s="48"/>
      <c r="B125" s="53">
        <v>42004.0</v>
      </c>
      <c r="C125" s="54">
        <v>0.2</v>
      </c>
      <c r="D125" s="42"/>
      <c r="E125" s="42"/>
      <c r="G125" s="50"/>
      <c r="H125" s="50"/>
      <c r="I125" s="50"/>
      <c r="J125" s="50"/>
      <c r="K125" s="50"/>
      <c r="L125" s="50"/>
      <c r="M125" s="50"/>
    </row>
    <row r="126" ht="15.75" customHeight="1">
      <c r="A126" s="48"/>
      <c r="B126" s="55">
        <v>42094.0</v>
      </c>
      <c r="C126" s="54">
        <v>0.2</v>
      </c>
      <c r="D126" s="42"/>
      <c r="E126" s="42"/>
      <c r="G126" s="50"/>
      <c r="H126" s="50"/>
      <c r="I126" s="50"/>
      <c r="J126" s="50"/>
      <c r="K126" s="50"/>
      <c r="L126" s="50"/>
      <c r="M126" s="50"/>
    </row>
    <row r="127" ht="15.75" customHeight="1">
      <c r="A127" s="48"/>
      <c r="B127" s="55">
        <v>42185.0</v>
      </c>
      <c r="C127" s="54">
        <v>0.7</v>
      </c>
      <c r="D127" s="42"/>
      <c r="E127" s="42"/>
      <c r="G127" s="50"/>
      <c r="H127" s="50"/>
      <c r="I127" s="50"/>
      <c r="J127" s="50"/>
      <c r="K127" s="50"/>
      <c r="L127" s="50"/>
      <c r="M127" s="50"/>
    </row>
    <row r="128" ht="15.75" customHeight="1">
      <c r="A128" s="48"/>
      <c r="B128" s="55">
        <v>42277.0</v>
      </c>
      <c r="C128" s="54">
        <v>0.5</v>
      </c>
      <c r="D128" s="42"/>
      <c r="E128" s="42"/>
      <c r="G128" s="50"/>
      <c r="H128" s="50"/>
      <c r="I128" s="50"/>
      <c r="J128" s="50"/>
      <c r="K128" s="50"/>
      <c r="L128" s="50"/>
      <c r="M128" s="50"/>
    </row>
    <row r="129" ht="15.75" customHeight="1">
      <c r="A129" s="48"/>
      <c r="B129" s="53">
        <v>42369.0</v>
      </c>
      <c r="C129" s="54">
        <v>0.4</v>
      </c>
      <c r="D129" s="42"/>
      <c r="E129" s="42"/>
      <c r="G129" s="50"/>
      <c r="H129" s="50"/>
      <c r="I129" s="50"/>
      <c r="J129" s="50"/>
      <c r="K129" s="50"/>
      <c r="L129" s="50"/>
      <c r="M129" s="50"/>
    </row>
    <row r="130" ht="15.75" customHeight="1">
      <c r="A130" s="48"/>
      <c r="B130" s="55">
        <v>42460.0</v>
      </c>
      <c r="C130" s="54">
        <v>-0.2</v>
      </c>
      <c r="D130" s="42"/>
      <c r="E130" s="42"/>
      <c r="G130" s="50"/>
      <c r="H130" s="50"/>
      <c r="I130" s="50"/>
      <c r="J130" s="50"/>
      <c r="K130" s="50"/>
      <c r="L130" s="50"/>
      <c r="M130" s="50"/>
    </row>
    <row r="131" ht="15.75" customHeight="1">
      <c r="A131" s="48"/>
      <c r="B131" s="55">
        <v>42551.0</v>
      </c>
      <c r="C131" s="54">
        <v>0.4</v>
      </c>
      <c r="D131" s="42"/>
      <c r="E131" s="42"/>
      <c r="G131" s="50"/>
      <c r="H131" s="50"/>
      <c r="I131" s="50"/>
      <c r="J131" s="50"/>
      <c r="K131" s="50"/>
      <c r="L131" s="50"/>
      <c r="M131" s="50"/>
    </row>
    <row r="132" ht="15.75" customHeight="1">
      <c r="A132" s="48"/>
      <c r="B132" s="55">
        <v>42643.0</v>
      </c>
      <c r="C132" s="54">
        <v>0.7</v>
      </c>
      <c r="D132" s="42"/>
      <c r="E132" s="42"/>
      <c r="G132" s="50"/>
      <c r="H132" s="50"/>
      <c r="I132" s="50"/>
      <c r="J132" s="50"/>
      <c r="K132" s="50"/>
      <c r="L132" s="50"/>
      <c r="M132" s="50"/>
    </row>
    <row r="133" ht="15.75" customHeight="1">
      <c r="A133" s="48"/>
      <c r="B133" s="53">
        <v>42735.0</v>
      </c>
      <c r="C133" s="54">
        <v>0.5</v>
      </c>
      <c r="D133" s="42"/>
      <c r="E133" s="42"/>
      <c r="G133" s="50"/>
      <c r="H133" s="50"/>
      <c r="I133" s="50"/>
      <c r="J133" s="50"/>
      <c r="K133" s="50"/>
      <c r="L133" s="50"/>
      <c r="M133" s="50"/>
    </row>
    <row r="134" ht="15.75" customHeight="1">
      <c r="A134" s="48"/>
      <c r="B134" s="55">
        <v>42825.0</v>
      </c>
      <c r="C134" s="54">
        <v>0.5</v>
      </c>
      <c r="D134" s="42"/>
      <c r="E134" s="42"/>
      <c r="G134" s="50"/>
      <c r="H134" s="50"/>
      <c r="I134" s="50"/>
      <c r="J134" s="50"/>
      <c r="K134" s="50"/>
      <c r="L134" s="50"/>
      <c r="M134" s="50"/>
    </row>
    <row r="135" ht="15.75" customHeight="1">
      <c r="A135" s="48"/>
      <c r="B135" s="55">
        <v>42916.0</v>
      </c>
      <c r="C135" s="54">
        <v>0.2</v>
      </c>
      <c r="D135" s="42"/>
      <c r="E135" s="42"/>
      <c r="G135" s="50"/>
      <c r="H135" s="50"/>
      <c r="I135" s="50"/>
      <c r="J135" s="50"/>
      <c r="K135" s="50"/>
      <c r="L135" s="50"/>
      <c r="M135" s="50"/>
    </row>
    <row r="136" ht="15.75" customHeight="1">
      <c r="A136" s="48"/>
      <c r="B136" s="55">
        <v>43008.0</v>
      </c>
      <c r="C136" s="54">
        <v>0.6</v>
      </c>
      <c r="D136" s="42"/>
      <c r="E136" s="42"/>
      <c r="G136" s="50"/>
      <c r="H136" s="50"/>
      <c r="I136" s="50"/>
      <c r="J136" s="50"/>
      <c r="K136" s="50"/>
      <c r="L136" s="50"/>
      <c r="M136" s="50"/>
    </row>
    <row r="137" ht="15.75" customHeight="1">
      <c r="A137" s="48"/>
      <c r="B137" s="53">
        <v>43100.0</v>
      </c>
      <c r="C137" s="54">
        <v>0.6</v>
      </c>
      <c r="D137" s="42"/>
      <c r="E137" s="42"/>
      <c r="G137" s="50"/>
      <c r="H137" s="50"/>
      <c r="I137" s="50"/>
      <c r="J137" s="50"/>
      <c r="K137" s="50"/>
      <c r="L137" s="50"/>
      <c r="M137" s="50"/>
    </row>
    <row r="138" ht="15.75" customHeight="1">
      <c r="A138" s="48"/>
      <c r="B138" s="55">
        <v>43190.0</v>
      </c>
      <c r="C138" s="54">
        <v>0.4</v>
      </c>
      <c r="D138" s="42"/>
      <c r="E138" s="42"/>
      <c r="G138" s="50"/>
      <c r="H138" s="50"/>
      <c r="I138" s="50"/>
      <c r="J138" s="50"/>
      <c r="K138" s="50"/>
      <c r="L138" s="50"/>
      <c r="M138" s="50"/>
    </row>
    <row r="139" ht="15.75" customHeight="1">
      <c r="A139" s="48"/>
      <c r="B139" s="55">
        <v>43281.0</v>
      </c>
      <c r="C139" s="54">
        <v>0.4</v>
      </c>
      <c r="D139" s="42"/>
      <c r="E139" s="42"/>
      <c r="G139" s="50"/>
      <c r="H139" s="50"/>
      <c r="I139" s="50"/>
      <c r="J139" s="50"/>
      <c r="K139" s="50"/>
      <c r="L139" s="50"/>
      <c r="M139" s="50"/>
    </row>
    <row r="140" ht="15.75" customHeight="1">
      <c r="A140" s="48"/>
      <c r="B140" s="55">
        <v>43373.0</v>
      </c>
      <c r="C140" s="54">
        <v>0.4</v>
      </c>
      <c r="D140" s="42"/>
      <c r="E140" s="42"/>
      <c r="G140" s="50"/>
      <c r="H140" s="50"/>
      <c r="I140" s="50"/>
      <c r="J140" s="50"/>
      <c r="K140" s="50"/>
      <c r="L140" s="50"/>
      <c r="M140" s="50"/>
    </row>
    <row r="141" ht="15.75" customHeight="1">
      <c r="A141" s="48"/>
      <c r="B141" s="53">
        <v>43465.0</v>
      </c>
      <c r="C141" s="54">
        <v>0.5</v>
      </c>
      <c r="D141" s="42"/>
      <c r="E141" s="42"/>
      <c r="G141" s="50"/>
      <c r="H141" s="50"/>
      <c r="I141" s="50"/>
      <c r="J141" s="50"/>
      <c r="K141" s="50"/>
      <c r="L141" s="50"/>
      <c r="M141" s="50"/>
    </row>
    <row r="142" ht="15.75" customHeight="1">
      <c r="A142" s="48"/>
      <c r="B142" s="55">
        <v>43555.0</v>
      </c>
      <c r="C142" s="54">
        <v>0.0</v>
      </c>
      <c r="D142" s="42"/>
      <c r="E142" s="42"/>
      <c r="G142" s="50"/>
      <c r="H142" s="50"/>
      <c r="I142" s="50"/>
      <c r="J142" s="50"/>
      <c r="K142" s="50"/>
      <c r="L142" s="50"/>
      <c r="M142" s="50"/>
    </row>
    <row r="143" ht="15.75" customHeight="1">
      <c r="A143" s="48"/>
      <c r="B143" s="55">
        <v>43646.0</v>
      </c>
      <c r="C143" s="54">
        <v>0.6</v>
      </c>
      <c r="D143" s="42"/>
      <c r="E143" s="42"/>
      <c r="G143" s="50"/>
      <c r="H143" s="50"/>
      <c r="I143" s="50"/>
      <c r="J143" s="50"/>
      <c r="K143" s="50"/>
      <c r="L143" s="50"/>
      <c r="M143" s="50"/>
    </row>
    <row r="144" ht="15.75" customHeight="1">
      <c r="A144" s="48"/>
      <c r="B144" s="55">
        <v>43738.0</v>
      </c>
      <c r="C144" s="54">
        <v>0.5</v>
      </c>
      <c r="D144" s="42"/>
      <c r="E144" s="42"/>
      <c r="G144" s="50"/>
      <c r="H144" s="50"/>
      <c r="I144" s="50"/>
      <c r="J144" s="50"/>
      <c r="K144" s="50"/>
      <c r="L144" s="50"/>
      <c r="M144" s="50"/>
    </row>
    <row r="145" ht="15.75" customHeight="1">
      <c r="A145" s="48"/>
      <c r="B145" s="53">
        <v>43830.0</v>
      </c>
      <c r="C145" s="54">
        <v>0.7</v>
      </c>
      <c r="D145" s="42"/>
      <c r="E145" s="42"/>
      <c r="G145" s="50"/>
      <c r="H145" s="50"/>
      <c r="I145" s="50"/>
      <c r="J145" s="50"/>
      <c r="K145" s="50"/>
      <c r="L145" s="50"/>
      <c r="M145" s="50"/>
    </row>
    <row r="146" ht="15.75" customHeight="1">
      <c r="A146" s="48"/>
      <c r="B146" s="55">
        <v>43921.0</v>
      </c>
      <c r="C146" s="54">
        <v>0.3</v>
      </c>
      <c r="D146" s="42"/>
      <c r="E146" s="42"/>
      <c r="G146" s="50"/>
      <c r="H146" s="50"/>
      <c r="I146" s="50"/>
      <c r="J146" s="50"/>
      <c r="K146" s="50"/>
      <c r="L146" s="50"/>
      <c r="M146" s="50"/>
    </row>
    <row r="147" ht="15.75" customHeight="1">
      <c r="A147" s="48"/>
      <c r="B147" s="55">
        <v>44012.0</v>
      </c>
      <c r="C147" s="54">
        <v>-1.9</v>
      </c>
      <c r="D147" s="42"/>
      <c r="E147" s="42"/>
      <c r="G147" s="50"/>
      <c r="H147" s="50"/>
      <c r="I147" s="50"/>
      <c r="J147" s="50"/>
      <c r="K147" s="50"/>
      <c r="L147" s="50"/>
      <c r="M147" s="50"/>
    </row>
    <row r="148" ht="15.75" customHeight="1">
      <c r="A148" s="48"/>
      <c r="B148" s="55">
        <v>44104.0</v>
      </c>
      <c r="C148" s="54">
        <v>1.6</v>
      </c>
      <c r="D148" s="42"/>
      <c r="E148" s="42"/>
      <c r="G148" s="50"/>
      <c r="H148" s="50"/>
      <c r="I148" s="50"/>
      <c r="J148" s="50"/>
      <c r="K148" s="50"/>
      <c r="L148" s="50"/>
      <c r="M148" s="50"/>
    </row>
    <row r="149" ht="15.75" customHeight="1">
      <c r="A149" s="48"/>
      <c r="B149" s="53">
        <v>44196.0</v>
      </c>
      <c r="C149" s="54">
        <v>0.9</v>
      </c>
      <c r="D149" s="42"/>
      <c r="E149" s="42"/>
      <c r="G149" s="50"/>
      <c r="H149" s="50"/>
      <c r="I149" s="50"/>
      <c r="J149" s="50"/>
      <c r="K149" s="50"/>
      <c r="L149" s="50"/>
      <c r="M149" s="50"/>
    </row>
    <row r="150" ht="15.75" customHeight="1">
      <c r="A150" s="48"/>
      <c r="B150" s="55">
        <v>44286.0</v>
      </c>
      <c r="C150" s="54">
        <v>0.6</v>
      </c>
      <c r="D150" s="42"/>
      <c r="E150" s="42"/>
      <c r="G150" s="50"/>
      <c r="H150" s="50"/>
      <c r="I150" s="50"/>
      <c r="J150" s="50"/>
      <c r="K150" s="50"/>
      <c r="L150" s="50"/>
      <c r="M150" s="50"/>
    </row>
    <row r="151" ht="15.75" customHeight="1">
      <c r="A151" s="48"/>
      <c r="B151" s="55">
        <v>44377.0</v>
      </c>
      <c r="C151" s="54">
        <v>0.8</v>
      </c>
      <c r="D151" s="42"/>
      <c r="E151" s="42"/>
      <c r="G151" s="50"/>
      <c r="H151" s="50"/>
      <c r="I151" s="50"/>
      <c r="J151" s="50"/>
      <c r="K151" s="50"/>
      <c r="L151" s="50"/>
      <c r="M151" s="50"/>
    </row>
    <row r="152" ht="15.75" customHeight="1">
      <c r="A152" s="48"/>
      <c r="B152" s="55">
        <v>44469.0</v>
      </c>
      <c r="C152" s="54">
        <v>0.8</v>
      </c>
      <c r="D152" s="42"/>
      <c r="E152" s="42"/>
      <c r="G152" s="50"/>
      <c r="H152" s="50"/>
      <c r="I152" s="50"/>
      <c r="J152" s="50"/>
      <c r="K152" s="50"/>
      <c r="L152" s="50"/>
      <c r="M152" s="50"/>
    </row>
    <row r="153" ht="15.75" customHeight="1">
      <c r="A153" s="48"/>
      <c r="B153" s="53">
        <v>44561.0</v>
      </c>
      <c r="C153" s="54">
        <v>1.3</v>
      </c>
      <c r="D153" s="42"/>
      <c r="E153" s="42"/>
      <c r="G153" s="50"/>
      <c r="H153" s="50"/>
      <c r="I153" s="50"/>
      <c r="J153" s="50"/>
      <c r="K153" s="50"/>
      <c r="L153" s="50"/>
      <c r="M153" s="50"/>
    </row>
    <row r="154" ht="15.75" customHeight="1">
      <c r="A154" s="48"/>
      <c r="B154" s="55">
        <v>44651.0</v>
      </c>
      <c r="C154" s="54">
        <v>2.1</v>
      </c>
      <c r="D154" s="42"/>
      <c r="E154" s="42"/>
      <c r="G154" s="50"/>
      <c r="H154" s="50"/>
      <c r="I154" s="50"/>
      <c r="J154" s="50"/>
      <c r="K154" s="50"/>
      <c r="L154" s="50"/>
      <c r="M154" s="50"/>
    </row>
    <row r="155" ht="15.75" customHeight="1">
      <c r="A155" s="48"/>
      <c r="B155" s="55">
        <v>44742.0</v>
      </c>
      <c r="C155" s="54">
        <v>1.8</v>
      </c>
      <c r="D155" s="42"/>
      <c r="E155" s="42"/>
      <c r="G155" s="50"/>
      <c r="H155" s="50"/>
      <c r="I155" s="50"/>
      <c r="J155" s="50"/>
      <c r="K155" s="50"/>
      <c r="L155" s="50"/>
      <c r="M155" s="50"/>
    </row>
    <row r="156" ht="15.75" customHeight="1">
      <c r="A156" s="48"/>
      <c r="B156" s="55">
        <v>44834.0</v>
      </c>
      <c r="C156" s="54">
        <v>1.8</v>
      </c>
      <c r="D156" s="42"/>
      <c r="E156" s="42"/>
      <c r="G156" s="50"/>
      <c r="H156" s="50"/>
      <c r="I156" s="50"/>
      <c r="J156" s="50"/>
      <c r="K156" s="50"/>
      <c r="L156" s="50"/>
      <c r="M156" s="50"/>
    </row>
    <row r="157" ht="15.75" customHeight="1">
      <c r="A157" s="48"/>
      <c r="B157" s="53">
        <v>44926.0</v>
      </c>
      <c r="C157" s="54">
        <v>1.9</v>
      </c>
      <c r="D157" s="42"/>
      <c r="E157" s="42"/>
      <c r="G157" s="50"/>
      <c r="H157" s="50"/>
      <c r="I157" s="50"/>
      <c r="J157" s="50"/>
      <c r="K157" s="50"/>
      <c r="L157" s="50"/>
      <c r="M157" s="50"/>
    </row>
    <row r="158" ht="15.75" customHeight="1">
      <c r="A158" s="48"/>
      <c r="B158" s="55">
        <v>45016.0</v>
      </c>
      <c r="C158" s="54">
        <v>1.4</v>
      </c>
      <c r="D158" s="42"/>
      <c r="E158" s="42"/>
      <c r="G158" s="50"/>
      <c r="H158" s="50"/>
      <c r="I158" s="50"/>
      <c r="J158" s="50"/>
      <c r="K158" s="50"/>
      <c r="L158" s="50"/>
      <c r="M158" s="50"/>
    </row>
    <row r="159" ht="15.75" customHeight="1">
      <c r="A159" s="48"/>
      <c r="B159" s="55">
        <v>45107.0</v>
      </c>
      <c r="C159" s="54">
        <v>0.8</v>
      </c>
      <c r="D159" s="42"/>
      <c r="E159" s="42"/>
      <c r="G159" s="50"/>
      <c r="H159" s="50"/>
      <c r="I159" s="50"/>
      <c r="J159" s="50"/>
      <c r="K159" s="50"/>
      <c r="L159" s="50"/>
      <c r="M159" s="50"/>
    </row>
    <row r="160" ht="15.75" customHeight="1">
      <c r="A160" s="48"/>
      <c r="B160" s="55">
        <v>45199.0</v>
      </c>
      <c r="C160" s="54">
        <v>1.2</v>
      </c>
      <c r="D160" s="42"/>
      <c r="E160" s="42"/>
      <c r="G160" s="50"/>
      <c r="H160" s="50"/>
      <c r="I160" s="50"/>
      <c r="J160" s="50"/>
      <c r="K160" s="50"/>
      <c r="L160" s="50"/>
      <c r="M160" s="50"/>
    </row>
    <row r="161" ht="15.75" customHeight="1">
      <c r="A161" s="48"/>
      <c r="B161" s="53">
        <v>45291.0</v>
      </c>
      <c r="C161" s="54">
        <v>0.6</v>
      </c>
      <c r="D161" s="42"/>
      <c r="E161" s="42"/>
      <c r="G161" s="50"/>
      <c r="H161" s="50"/>
      <c r="I161" s="50"/>
      <c r="J161" s="50"/>
      <c r="K161" s="50"/>
      <c r="L161" s="50"/>
      <c r="M161" s="50"/>
    </row>
    <row r="162" ht="15.75" customHeight="1">
      <c r="A162" s="48"/>
      <c r="B162" s="55">
        <v>45382.0</v>
      </c>
      <c r="C162" s="54">
        <v>1.0</v>
      </c>
      <c r="D162" s="42"/>
      <c r="E162" s="42"/>
      <c r="G162" s="50"/>
      <c r="H162" s="50"/>
      <c r="I162" s="50"/>
      <c r="J162" s="50"/>
      <c r="K162" s="50"/>
      <c r="L162" s="50"/>
      <c r="M162" s="50"/>
    </row>
    <row r="163" ht="15.75" customHeight="1">
      <c r="A163" s="48"/>
      <c r="B163" s="55">
        <v>45473.0</v>
      </c>
      <c r="C163" s="54">
        <v>1.0</v>
      </c>
      <c r="D163" s="42"/>
      <c r="E163" s="42"/>
      <c r="G163" s="50"/>
      <c r="H163" s="50"/>
      <c r="I163" s="50"/>
      <c r="J163" s="50"/>
      <c r="K163" s="50"/>
      <c r="L163" s="50"/>
      <c r="M163" s="50"/>
    </row>
    <row r="164" ht="15.75" customHeight="1">
      <c r="A164" s="48"/>
      <c r="B164" s="55">
        <v>45565.0</v>
      </c>
      <c r="C164" s="54">
        <v>0.2</v>
      </c>
      <c r="D164" s="42"/>
      <c r="E164" s="42"/>
      <c r="G164" s="50"/>
      <c r="H164" s="50"/>
      <c r="I164" s="50"/>
      <c r="J164" s="50"/>
      <c r="K164" s="50"/>
      <c r="L164" s="50"/>
      <c r="M164" s="50"/>
    </row>
    <row r="165" ht="15.75" customHeight="1">
      <c r="A165" s="42"/>
      <c r="B165" s="42"/>
      <c r="C165" s="42"/>
      <c r="D165" s="42"/>
      <c r="E165" s="56"/>
      <c r="F165" s="45"/>
      <c r="G165" s="50"/>
      <c r="H165" s="50"/>
      <c r="I165" s="50"/>
      <c r="J165" s="50"/>
      <c r="K165" s="50"/>
      <c r="L165" s="50"/>
      <c r="M165" s="50"/>
    </row>
    <row r="166" ht="15.75" customHeight="1">
      <c r="A166" s="42"/>
      <c r="B166" s="42"/>
      <c r="C166" s="42"/>
      <c r="D166" s="42"/>
      <c r="E166" s="56"/>
      <c r="F166" s="45"/>
      <c r="G166" s="50"/>
      <c r="H166" s="50"/>
      <c r="I166" s="50"/>
      <c r="J166" s="50"/>
      <c r="K166" s="50"/>
      <c r="L166" s="50"/>
      <c r="M166" s="50"/>
    </row>
    <row r="167" ht="15.75" customHeight="1">
      <c r="A167" s="42"/>
      <c r="B167" s="42"/>
      <c r="C167" s="42"/>
      <c r="D167" s="42"/>
      <c r="E167" s="56"/>
      <c r="F167" s="45"/>
      <c r="G167" s="50"/>
      <c r="H167" s="50"/>
      <c r="I167" s="50"/>
      <c r="J167" s="50"/>
      <c r="K167" s="50"/>
      <c r="L167" s="50"/>
      <c r="M167" s="50"/>
    </row>
    <row r="168" ht="15.75" customHeight="1">
      <c r="A168" s="42"/>
      <c r="B168" s="42"/>
      <c r="C168" s="42"/>
      <c r="D168" s="42"/>
      <c r="E168" s="56"/>
      <c r="F168" s="45"/>
      <c r="G168" s="50"/>
      <c r="H168" s="50"/>
      <c r="I168" s="50"/>
      <c r="J168" s="50"/>
      <c r="K168" s="50"/>
      <c r="L168" s="50"/>
      <c r="M168" s="50"/>
    </row>
    <row r="169" ht="15.75" customHeight="1">
      <c r="A169" s="42"/>
      <c r="B169" s="42"/>
      <c r="C169" s="42"/>
      <c r="D169" s="42"/>
      <c r="E169" s="56"/>
      <c r="F169" s="45"/>
      <c r="G169" s="50"/>
      <c r="H169" s="50"/>
      <c r="I169" s="50"/>
      <c r="J169" s="50"/>
      <c r="K169" s="50"/>
      <c r="L169" s="50"/>
      <c r="M169" s="50"/>
    </row>
    <row r="170" ht="15.75" customHeight="1">
      <c r="A170" s="42"/>
      <c r="B170" s="42"/>
      <c r="C170" s="42"/>
      <c r="D170" s="42"/>
      <c r="E170" s="56"/>
      <c r="F170" s="45"/>
      <c r="G170" s="50"/>
      <c r="H170" s="50"/>
      <c r="I170" s="50"/>
      <c r="J170" s="50"/>
      <c r="K170" s="50"/>
      <c r="L170" s="50"/>
      <c r="M170" s="50"/>
    </row>
    <row r="171" ht="15.75" customHeight="1">
      <c r="A171" s="42"/>
      <c r="B171" s="42"/>
      <c r="C171" s="42"/>
      <c r="D171" s="42"/>
      <c r="E171" s="56"/>
      <c r="F171" s="45"/>
      <c r="G171" s="50"/>
      <c r="H171" s="50"/>
      <c r="I171" s="50"/>
      <c r="J171" s="50"/>
      <c r="K171" s="50"/>
      <c r="L171" s="50"/>
      <c r="M171" s="50"/>
    </row>
    <row r="172" ht="15.75" customHeight="1">
      <c r="A172" s="42"/>
      <c r="B172" s="42"/>
      <c r="C172" s="42"/>
      <c r="D172" s="42"/>
      <c r="E172" s="56"/>
      <c r="F172" s="45"/>
      <c r="G172" s="50"/>
      <c r="H172" s="50"/>
      <c r="I172" s="50"/>
      <c r="J172" s="50"/>
      <c r="K172" s="50"/>
      <c r="L172" s="50"/>
      <c r="M172" s="50"/>
    </row>
    <row r="173" ht="15.75" customHeight="1">
      <c r="A173" s="42"/>
      <c r="B173" s="42"/>
      <c r="C173" s="42"/>
      <c r="D173" s="42"/>
      <c r="E173" s="56"/>
      <c r="F173" s="45"/>
      <c r="G173" s="50"/>
      <c r="H173" s="50"/>
      <c r="I173" s="50"/>
      <c r="J173" s="50"/>
      <c r="K173" s="50"/>
      <c r="L173" s="50"/>
      <c r="M173" s="50"/>
    </row>
    <row r="174" ht="15.75" customHeight="1">
      <c r="A174" s="42"/>
      <c r="B174" s="42"/>
      <c r="C174" s="42"/>
      <c r="D174" s="42"/>
      <c r="E174" s="56"/>
      <c r="F174" s="45"/>
      <c r="G174" s="50"/>
      <c r="H174" s="50"/>
      <c r="I174" s="50"/>
      <c r="J174" s="50"/>
      <c r="K174" s="50"/>
      <c r="L174" s="50"/>
      <c r="M174" s="50"/>
    </row>
    <row r="175" ht="15.75" customHeight="1">
      <c r="A175" s="42"/>
      <c r="B175" s="42"/>
      <c r="C175" s="42"/>
      <c r="D175" s="42"/>
      <c r="E175" s="56"/>
      <c r="F175" s="45"/>
      <c r="G175" s="50"/>
      <c r="H175" s="50"/>
      <c r="I175" s="50"/>
      <c r="J175" s="50"/>
      <c r="K175" s="50"/>
      <c r="L175" s="50"/>
      <c r="M175" s="50"/>
    </row>
    <row r="176" ht="15.75" customHeight="1">
      <c r="A176" s="42"/>
      <c r="B176" s="42"/>
      <c r="C176" s="42"/>
      <c r="D176" s="42"/>
      <c r="E176" s="56"/>
      <c r="F176" s="45"/>
      <c r="G176" s="50"/>
      <c r="H176" s="50"/>
      <c r="I176" s="50"/>
      <c r="J176" s="50"/>
      <c r="K176" s="50"/>
      <c r="L176" s="50"/>
      <c r="M176" s="50"/>
    </row>
    <row r="177" ht="15.75" customHeight="1">
      <c r="A177" s="42"/>
      <c r="B177" s="42"/>
      <c r="C177" s="42"/>
      <c r="D177" s="42"/>
      <c r="E177" s="56"/>
      <c r="F177" s="45"/>
      <c r="G177" s="50"/>
      <c r="H177" s="50"/>
      <c r="I177" s="50"/>
      <c r="J177" s="50"/>
      <c r="K177" s="50"/>
      <c r="L177" s="50"/>
      <c r="M177" s="50"/>
    </row>
    <row r="178" ht="15.75" customHeight="1">
      <c r="A178" s="42"/>
      <c r="B178" s="42"/>
      <c r="C178" s="42"/>
      <c r="D178" s="42"/>
      <c r="E178" s="56"/>
      <c r="F178" s="45"/>
      <c r="G178" s="50"/>
      <c r="H178" s="50"/>
      <c r="I178" s="50"/>
      <c r="J178" s="50"/>
      <c r="K178" s="50"/>
      <c r="L178" s="50"/>
      <c r="M178" s="50"/>
    </row>
    <row r="179" ht="15.75" customHeight="1">
      <c r="A179" s="42"/>
      <c r="B179" s="42"/>
      <c r="C179" s="42"/>
      <c r="D179" s="42"/>
      <c r="E179" s="56"/>
      <c r="F179" s="45"/>
      <c r="G179" s="50"/>
      <c r="H179" s="50"/>
      <c r="I179" s="50"/>
      <c r="J179" s="50"/>
      <c r="K179" s="50"/>
      <c r="L179" s="50"/>
      <c r="M179" s="50"/>
    </row>
    <row r="180" ht="15.75" customHeight="1">
      <c r="A180" s="42"/>
      <c r="B180" s="42"/>
      <c r="C180" s="42"/>
      <c r="D180" s="42"/>
      <c r="E180" s="56"/>
      <c r="F180" s="45"/>
      <c r="G180" s="50"/>
      <c r="H180" s="50"/>
      <c r="I180" s="50"/>
      <c r="J180" s="50"/>
      <c r="K180" s="50"/>
      <c r="L180" s="50"/>
      <c r="M180" s="50"/>
    </row>
    <row r="181" ht="15.75" customHeight="1">
      <c r="A181" s="42"/>
      <c r="B181" s="42"/>
      <c r="C181" s="42"/>
      <c r="D181" s="42"/>
      <c r="E181" s="56"/>
      <c r="F181" s="45"/>
      <c r="G181" s="50"/>
      <c r="H181" s="50"/>
      <c r="I181" s="50"/>
      <c r="J181" s="50"/>
      <c r="K181" s="50"/>
      <c r="L181" s="50"/>
      <c r="M181" s="50"/>
    </row>
    <row r="182" ht="15.75" customHeight="1">
      <c r="A182" s="42"/>
      <c r="B182" s="42"/>
      <c r="C182" s="42"/>
      <c r="D182" s="42"/>
      <c r="E182" s="56"/>
      <c r="F182" s="45"/>
      <c r="G182" s="50"/>
      <c r="H182" s="50"/>
      <c r="I182" s="50"/>
      <c r="J182" s="50"/>
      <c r="K182" s="50"/>
      <c r="L182" s="50"/>
      <c r="M182" s="50"/>
    </row>
    <row r="183" ht="15.75" customHeight="1">
      <c r="A183" s="42"/>
      <c r="B183" s="42"/>
      <c r="C183" s="42"/>
      <c r="D183" s="42"/>
      <c r="E183" s="56"/>
      <c r="F183" s="45"/>
      <c r="G183" s="50"/>
      <c r="H183" s="50"/>
      <c r="I183" s="50"/>
      <c r="J183" s="50"/>
      <c r="K183" s="50"/>
      <c r="L183" s="50"/>
      <c r="M183" s="50"/>
    </row>
    <row r="184" ht="15.75" customHeight="1">
      <c r="A184" s="42"/>
      <c r="B184" s="42"/>
      <c r="C184" s="42"/>
      <c r="D184" s="42"/>
      <c r="E184" s="56"/>
      <c r="F184" s="45"/>
      <c r="G184" s="50"/>
      <c r="H184" s="50"/>
      <c r="I184" s="50"/>
      <c r="J184" s="50"/>
      <c r="K184" s="50"/>
      <c r="L184" s="50"/>
      <c r="M184" s="50"/>
    </row>
    <row r="185" ht="15.75" customHeight="1">
      <c r="A185" s="42"/>
      <c r="B185" s="42"/>
      <c r="C185" s="42"/>
      <c r="D185" s="42"/>
      <c r="E185" s="56"/>
      <c r="F185" s="45"/>
      <c r="G185" s="50"/>
      <c r="H185" s="50"/>
      <c r="I185" s="50"/>
      <c r="J185" s="50"/>
      <c r="K185" s="50"/>
      <c r="L185" s="50"/>
      <c r="M185" s="50"/>
    </row>
    <row r="186" ht="15.75" customHeight="1">
      <c r="A186" s="42"/>
      <c r="B186" s="42"/>
      <c r="C186" s="42"/>
      <c r="D186" s="42"/>
      <c r="E186" s="56"/>
      <c r="F186" s="45"/>
      <c r="G186" s="50"/>
      <c r="H186" s="50"/>
      <c r="I186" s="50"/>
      <c r="J186" s="50"/>
      <c r="K186" s="50"/>
      <c r="L186" s="50"/>
      <c r="M186" s="50"/>
    </row>
    <row r="187" ht="15.75" customHeight="1">
      <c r="A187" s="42"/>
      <c r="B187" s="42"/>
      <c r="C187" s="42"/>
      <c r="D187" s="42"/>
      <c r="E187" s="56"/>
      <c r="F187" s="45"/>
      <c r="G187" s="50"/>
      <c r="H187" s="50"/>
      <c r="I187" s="50"/>
      <c r="J187" s="50"/>
      <c r="K187" s="50"/>
      <c r="L187" s="50"/>
      <c r="M187" s="50"/>
    </row>
    <row r="188" ht="15.75" customHeight="1">
      <c r="A188" s="42"/>
      <c r="B188" s="42"/>
      <c r="C188" s="42"/>
      <c r="D188" s="42"/>
      <c r="E188" s="56"/>
      <c r="F188" s="45"/>
      <c r="G188" s="50"/>
      <c r="H188" s="50"/>
      <c r="I188" s="50"/>
      <c r="J188" s="50"/>
      <c r="K188" s="50"/>
      <c r="L188" s="50"/>
      <c r="M188" s="50"/>
    </row>
    <row r="189" ht="15.75" customHeight="1">
      <c r="A189" s="42"/>
      <c r="B189" s="42"/>
      <c r="C189" s="42"/>
      <c r="D189" s="42"/>
      <c r="E189" s="56"/>
      <c r="F189" s="45"/>
      <c r="G189" s="50"/>
      <c r="H189" s="50"/>
      <c r="I189" s="50"/>
      <c r="J189" s="50"/>
      <c r="K189" s="50"/>
      <c r="L189" s="50"/>
      <c r="M189" s="50"/>
    </row>
    <row r="190" ht="15.75" customHeight="1">
      <c r="A190" s="42"/>
      <c r="B190" s="42"/>
      <c r="C190" s="42"/>
      <c r="D190" s="42"/>
      <c r="E190" s="56"/>
      <c r="F190" s="45"/>
      <c r="G190" s="50"/>
      <c r="H190" s="50"/>
      <c r="I190" s="50"/>
      <c r="J190" s="50"/>
      <c r="K190" s="50"/>
      <c r="L190" s="50"/>
      <c r="M190" s="50"/>
    </row>
    <row r="191" ht="15.75" customHeight="1">
      <c r="A191" s="42"/>
      <c r="B191" s="42"/>
      <c r="C191" s="42"/>
      <c r="D191" s="42"/>
      <c r="E191" s="56"/>
      <c r="F191" s="45"/>
      <c r="G191" s="50"/>
      <c r="H191" s="50"/>
      <c r="I191" s="50"/>
      <c r="J191" s="50"/>
      <c r="K191" s="50"/>
      <c r="L191" s="50"/>
      <c r="M191" s="50"/>
    </row>
    <row r="192" ht="15.75" customHeight="1">
      <c r="A192" s="42"/>
      <c r="B192" s="42"/>
      <c r="C192" s="42"/>
      <c r="D192" s="42"/>
      <c r="E192" s="56"/>
      <c r="F192" s="45"/>
      <c r="G192" s="50"/>
      <c r="H192" s="50"/>
      <c r="I192" s="50"/>
      <c r="J192" s="50"/>
      <c r="K192" s="50"/>
      <c r="L192" s="50"/>
      <c r="M192" s="50"/>
    </row>
    <row r="193" ht="15.75" customHeight="1">
      <c r="A193" s="42"/>
      <c r="B193" s="42"/>
      <c r="C193" s="42"/>
      <c r="D193" s="42"/>
      <c r="E193" s="56"/>
      <c r="F193" s="45"/>
      <c r="G193" s="50"/>
      <c r="H193" s="50"/>
      <c r="I193" s="50"/>
      <c r="J193" s="50"/>
      <c r="K193" s="50"/>
      <c r="L193" s="50"/>
      <c r="M193" s="50"/>
    </row>
    <row r="194" ht="15.75" customHeight="1">
      <c r="A194" s="42"/>
      <c r="B194" s="42"/>
      <c r="C194" s="42"/>
      <c r="D194" s="42"/>
      <c r="E194" s="56"/>
      <c r="F194" s="45"/>
      <c r="G194" s="50"/>
      <c r="H194" s="50"/>
      <c r="I194" s="50"/>
      <c r="J194" s="50"/>
      <c r="K194" s="50"/>
      <c r="L194" s="50"/>
      <c r="M194" s="50"/>
    </row>
    <row r="195" ht="15.75" customHeight="1">
      <c r="A195" s="42"/>
      <c r="B195" s="42"/>
      <c r="C195" s="42"/>
      <c r="D195" s="42"/>
      <c r="E195" s="56"/>
      <c r="F195" s="45"/>
      <c r="G195" s="50"/>
      <c r="H195" s="50"/>
      <c r="I195" s="50"/>
      <c r="J195" s="50"/>
      <c r="K195" s="50"/>
      <c r="L195" s="50"/>
      <c r="M195" s="50"/>
    </row>
    <row r="196" ht="15.75" customHeight="1">
      <c r="A196" s="42"/>
      <c r="B196" s="42"/>
      <c r="C196" s="42"/>
      <c r="D196" s="42"/>
      <c r="E196" s="56"/>
      <c r="F196" s="45"/>
      <c r="G196" s="50"/>
      <c r="H196" s="50"/>
      <c r="I196" s="50"/>
      <c r="J196" s="50"/>
      <c r="K196" s="50"/>
      <c r="L196" s="50"/>
      <c r="M196" s="50"/>
    </row>
    <row r="197" ht="15.75" customHeight="1">
      <c r="A197" s="42"/>
      <c r="B197" s="42"/>
      <c r="C197" s="42"/>
      <c r="D197" s="42"/>
      <c r="E197" s="56"/>
      <c r="F197" s="45"/>
      <c r="G197" s="50"/>
      <c r="H197" s="50"/>
      <c r="I197" s="50"/>
      <c r="J197" s="50"/>
      <c r="K197" s="50"/>
      <c r="L197" s="50"/>
      <c r="M197" s="50"/>
    </row>
    <row r="198" ht="15.75" customHeight="1">
      <c r="A198" s="42"/>
      <c r="B198" s="42"/>
      <c r="C198" s="42"/>
      <c r="D198" s="42"/>
      <c r="E198" s="56"/>
      <c r="F198" s="45"/>
      <c r="G198" s="50"/>
      <c r="H198" s="50"/>
      <c r="I198" s="50"/>
      <c r="J198" s="50"/>
      <c r="K198" s="50"/>
      <c r="L198" s="50"/>
      <c r="M198" s="50"/>
    </row>
    <row r="199" ht="15.75" customHeight="1">
      <c r="A199" s="42"/>
      <c r="B199" s="42"/>
      <c r="C199" s="42"/>
      <c r="D199" s="42"/>
      <c r="E199" s="56"/>
      <c r="F199" s="45"/>
      <c r="G199" s="50"/>
      <c r="H199" s="50"/>
      <c r="I199" s="50"/>
      <c r="J199" s="50"/>
      <c r="K199" s="50"/>
      <c r="L199" s="50"/>
      <c r="M199" s="50"/>
    </row>
    <row r="200" ht="15.75" customHeight="1">
      <c r="A200" s="42"/>
      <c r="B200" s="42"/>
      <c r="C200" s="42"/>
      <c r="D200" s="42"/>
      <c r="E200" s="56"/>
      <c r="F200" s="45"/>
      <c r="G200" s="50"/>
      <c r="H200" s="50"/>
      <c r="I200" s="50"/>
      <c r="J200" s="50"/>
      <c r="K200" s="50"/>
      <c r="L200" s="50"/>
      <c r="M200" s="50"/>
    </row>
    <row r="201" ht="15.75" customHeight="1">
      <c r="A201" s="42"/>
      <c r="B201" s="42"/>
      <c r="C201" s="42"/>
      <c r="D201" s="42"/>
      <c r="E201" s="56"/>
      <c r="F201" s="45"/>
      <c r="G201" s="50"/>
      <c r="H201" s="50"/>
      <c r="I201" s="50"/>
      <c r="J201" s="50"/>
      <c r="K201" s="50"/>
      <c r="L201" s="50"/>
      <c r="M201" s="50"/>
    </row>
    <row r="202" ht="15.75" customHeight="1">
      <c r="A202" s="42"/>
      <c r="B202" s="42"/>
      <c r="C202" s="42"/>
      <c r="D202" s="42"/>
      <c r="E202" s="56"/>
      <c r="F202" s="45"/>
      <c r="G202" s="50"/>
      <c r="H202" s="50"/>
      <c r="I202" s="50"/>
      <c r="J202" s="50"/>
      <c r="K202" s="50"/>
      <c r="L202" s="50"/>
      <c r="M202" s="50"/>
    </row>
    <row r="203" ht="15.75" customHeight="1">
      <c r="A203" s="57"/>
      <c r="B203" s="57"/>
      <c r="C203" s="58"/>
      <c r="D203" s="58"/>
      <c r="E203" s="59"/>
      <c r="F203" s="45"/>
      <c r="G203" s="50"/>
      <c r="H203" s="50"/>
      <c r="I203" s="50"/>
      <c r="J203" s="50"/>
      <c r="K203" s="50"/>
      <c r="L203" s="50"/>
      <c r="M203" s="50"/>
    </row>
    <row r="204" ht="15.75" customHeight="1">
      <c r="A204" s="57"/>
      <c r="B204" s="57"/>
      <c r="C204" s="58"/>
      <c r="D204" s="58"/>
      <c r="E204" s="59"/>
      <c r="F204" s="45"/>
      <c r="G204" s="50"/>
      <c r="H204" s="50"/>
      <c r="I204" s="50"/>
      <c r="J204" s="50"/>
      <c r="K204" s="50"/>
      <c r="L204" s="50"/>
      <c r="M204" s="50"/>
    </row>
    <row r="205" ht="15.75" customHeight="1">
      <c r="A205" s="57"/>
      <c r="B205" s="57"/>
      <c r="C205" s="58"/>
      <c r="D205" s="58"/>
      <c r="E205" s="59"/>
      <c r="F205" s="45"/>
      <c r="G205" s="50"/>
      <c r="H205" s="50"/>
      <c r="I205" s="50"/>
      <c r="J205" s="50"/>
      <c r="K205" s="50"/>
      <c r="L205" s="50"/>
      <c r="M205" s="50"/>
    </row>
    <row r="206" ht="15.75" customHeight="1">
      <c r="A206" s="57"/>
      <c r="B206" s="57"/>
      <c r="C206" s="58"/>
      <c r="D206" s="58"/>
      <c r="E206" s="59"/>
      <c r="F206" s="45"/>
      <c r="G206" s="50"/>
      <c r="H206" s="50"/>
      <c r="I206" s="50"/>
      <c r="J206" s="50"/>
      <c r="K206" s="50"/>
      <c r="L206" s="50"/>
      <c r="M206" s="50"/>
    </row>
    <row r="207" ht="15.75" customHeight="1">
      <c r="A207" s="57"/>
      <c r="B207" s="57"/>
      <c r="C207" s="58"/>
      <c r="D207" s="58"/>
      <c r="E207" s="59"/>
      <c r="F207" s="45"/>
      <c r="G207" s="44"/>
      <c r="H207" s="45"/>
    </row>
    <row r="208" ht="15.75" customHeight="1">
      <c r="A208" s="57"/>
      <c r="B208" s="57"/>
      <c r="C208" s="58"/>
      <c r="D208" s="58"/>
      <c r="E208" s="59"/>
      <c r="F208" s="45"/>
      <c r="G208" s="44"/>
      <c r="H208" s="45"/>
    </row>
    <row r="209" ht="15.75" customHeight="1">
      <c r="A209" s="57"/>
      <c r="B209" s="57"/>
      <c r="C209" s="58"/>
      <c r="D209" s="58"/>
      <c r="E209" s="59"/>
      <c r="F209" s="45"/>
      <c r="G209" s="44"/>
      <c r="H209" s="45"/>
    </row>
    <row r="210" ht="15.75" customHeight="1">
      <c r="A210" s="57"/>
      <c r="B210" s="57"/>
      <c r="C210" s="58"/>
      <c r="D210" s="58"/>
      <c r="E210" s="59"/>
      <c r="F210" s="45"/>
      <c r="G210" s="44"/>
      <c r="H210" s="45"/>
    </row>
    <row r="211" ht="15.75" customHeight="1">
      <c r="A211" s="57"/>
      <c r="B211" s="57"/>
      <c r="C211" s="58"/>
      <c r="D211" s="58"/>
      <c r="E211" s="59"/>
      <c r="F211" s="45"/>
      <c r="G211" s="44"/>
      <c r="H211" s="45"/>
    </row>
    <row r="212" ht="15.75" customHeight="1">
      <c r="A212" s="57"/>
      <c r="B212" s="57"/>
      <c r="C212" s="58"/>
      <c r="D212" s="58"/>
      <c r="E212" s="59"/>
      <c r="F212" s="45"/>
      <c r="G212" s="44"/>
      <c r="H212" s="45"/>
    </row>
    <row r="213" ht="15.75" customHeight="1">
      <c r="A213" s="57"/>
      <c r="B213" s="57"/>
      <c r="C213" s="58"/>
      <c r="D213" s="58"/>
      <c r="E213" s="59"/>
      <c r="F213" s="45"/>
      <c r="G213" s="44"/>
      <c r="H213" s="45"/>
    </row>
    <row r="214" ht="15.75" customHeight="1">
      <c r="A214" s="57"/>
      <c r="B214" s="57"/>
      <c r="C214" s="58"/>
      <c r="D214" s="58"/>
      <c r="E214" s="59"/>
      <c r="F214" s="45"/>
      <c r="G214" s="44"/>
      <c r="H214" s="45"/>
    </row>
    <row r="215" ht="15.75" customHeight="1">
      <c r="A215" s="57"/>
      <c r="B215" s="57"/>
      <c r="C215" s="58"/>
      <c r="D215" s="58"/>
      <c r="E215" s="59"/>
      <c r="F215" s="45"/>
      <c r="G215" s="44"/>
      <c r="H215" s="45"/>
    </row>
    <row r="216" ht="15.75" customHeight="1">
      <c r="A216" s="57"/>
      <c r="B216" s="57"/>
      <c r="C216" s="58"/>
      <c r="D216" s="58"/>
      <c r="E216" s="59"/>
      <c r="F216" s="45"/>
      <c r="G216" s="44"/>
      <c r="H216" s="45"/>
    </row>
    <row r="217" ht="15.75" customHeight="1">
      <c r="A217" s="57"/>
      <c r="B217" s="57"/>
      <c r="C217" s="58"/>
      <c r="D217" s="58"/>
      <c r="E217" s="59"/>
      <c r="F217" s="45"/>
      <c r="G217" s="44"/>
      <c r="H217" s="45"/>
    </row>
    <row r="218" ht="15.75" customHeight="1">
      <c r="A218" s="57"/>
      <c r="B218" s="57"/>
      <c r="C218" s="58"/>
      <c r="D218" s="58"/>
      <c r="E218" s="59"/>
      <c r="F218" s="45"/>
      <c r="G218" s="44"/>
      <c r="H218" s="45"/>
    </row>
    <row r="219" ht="15.75" customHeight="1">
      <c r="A219" s="57"/>
      <c r="B219" s="57"/>
      <c r="C219" s="58"/>
      <c r="D219" s="58"/>
      <c r="E219" s="59"/>
      <c r="F219" s="45"/>
      <c r="G219" s="44"/>
      <c r="H219" s="45"/>
    </row>
    <row r="220" ht="15.75" customHeight="1">
      <c r="A220" s="57"/>
      <c r="B220" s="57"/>
      <c r="C220" s="58"/>
      <c r="D220" s="58"/>
      <c r="E220" s="59"/>
      <c r="F220" s="45"/>
      <c r="G220" s="44"/>
      <c r="H220" s="45"/>
    </row>
    <row r="221" ht="15.75" customHeight="1">
      <c r="A221" s="57"/>
      <c r="B221" s="57"/>
      <c r="C221" s="58"/>
      <c r="D221" s="58"/>
      <c r="E221" s="59"/>
      <c r="F221" s="45"/>
      <c r="G221" s="44"/>
      <c r="H221" s="45"/>
    </row>
    <row r="222" ht="15.75" customHeight="1">
      <c r="A222" s="57"/>
      <c r="B222" s="57"/>
      <c r="C222" s="58"/>
      <c r="D222" s="58"/>
      <c r="E222" s="59"/>
      <c r="F222" s="45"/>
      <c r="G222" s="44"/>
      <c r="H222" s="45"/>
    </row>
    <row r="223" ht="15.75" customHeight="1">
      <c r="A223" s="57"/>
      <c r="B223" s="57"/>
      <c r="C223" s="58"/>
      <c r="D223" s="58"/>
      <c r="E223" s="59"/>
      <c r="F223" s="45"/>
      <c r="G223" s="44"/>
      <c r="H223" s="45"/>
    </row>
    <row r="224" ht="15.75" customHeight="1">
      <c r="A224" s="57"/>
      <c r="B224" s="57"/>
      <c r="C224" s="58"/>
      <c r="D224" s="58"/>
      <c r="E224" s="59"/>
      <c r="F224" s="45"/>
      <c r="G224" s="44"/>
      <c r="H224" s="45"/>
    </row>
    <row r="225" ht="15.75" customHeight="1">
      <c r="A225" s="57"/>
      <c r="B225" s="57"/>
      <c r="C225" s="58"/>
      <c r="D225" s="58"/>
      <c r="E225" s="59"/>
      <c r="F225" s="45"/>
      <c r="G225" s="44"/>
      <c r="H225" s="45"/>
    </row>
    <row r="226" ht="15.75" customHeight="1">
      <c r="A226" s="45"/>
      <c r="B226" s="60"/>
      <c r="E226" s="44"/>
      <c r="F226" s="45"/>
      <c r="G226" s="44"/>
      <c r="H226" s="45"/>
    </row>
    <row r="227" ht="15.75" customHeight="1">
      <c r="A227" s="45"/>
      <c r="B227" s="60"/>
      <c r="E227" s="44"/>
      <c r="F227" s="45"/>
      <c r="G227" s="44"/>
      <c r="H227" s="45"/>
    </row>
    <row r="228" ht="15.75" customHeight="1">
      <c r="A228" s="45"/>
      <c r="B228" s="60"/>
      <c r="E228" s="44"/>
      <c r="F228" s="45"/>
      <c r="G228" s="44"/>
      <c r="H228" s="45"/>
    </row>
    <row r="229" ht="15.75" customHeight="1">
      <c r="A229" s="45"/>
      <c r="B229" s="60"/>
      <c r="E229" s="44"/>
      <c r="F229" s="45"/>
      <c r="G229" s="44"/>
      <c r="H229" s="45"/>
    </row>
    <row r="230" ht="15.75" customHeight="1">
      <c r="A230" s="45"/>
      <c r="B230" s="60"/>
      <c r="E230" s="44"/>
      <c r="F230" s="45"/>
      <c r="G230" s="44"/>
      <c r="H230" s="45"/>
    </row>
    <row r="231" ht="15.75" customHeight="1">
      <c r="A231" s="45"/>
      <c r="B231" s="60"/>
      <c r="E231" s="44"/>
      <c r="F231" s="45"/>
      <c r="G231" s="44"/>
      <c r="H231" s="45"/>
    </row>
    <row r="232" ht="15.75" customHeight="1">
      <c r="A232" s="45"/>
      <c r="B232" s="60"/>
      <c r="E232" s="44"/>
      <c r="F232" s="45"/>
      <c r="G232" s="44"/>
      <c r="H232" s="45"/>
    </row>
    <row r="233" ht="15.75" customHeight="1">
      <c r="A233" s="45"/>
      <c r="B233" s="60"/>
      <c r="E233" s="44"/>
      <c r="F233" s="45"/>
      <c r="G233" s="44"/>
      <c r="H233" s="45"/>
    </row>
    <row r="234" ht="15.75" customHeight="1">
      <c r="A234" s="45"/>
      <c r="B234" s="60"/>
      <c r="E234" s="44"/>
      <c r="F234" s="45"/>
      <c r="G234" s="44"/>
      <c r="H234" s="45"/>
    </row>
    <row r="235" ht="15.75" customHeight="1">
      <c r="A235" s="45"/>
      <c r="B235" s="60"/>
      <c r="E235" s="44"/>
      <c r="F235" s="45"/>
      <c r="G235" s="44"/>
      <c r="H235" s="45"/>
    </row>
    <row r="236" ht="15.75" customHeight="1">
      <c r="A236" s="45"/>
      <c r="B236" s="60"/>
      <c r="E236" s="44"/>
      <c r="F236" s="45"/>
      <c r="G236" s="44"/>
      <c r="H236" s="45"/>
    </row>
    <row r="237" ht="15.75" customHeight="1">
      <c r="A237" s="45"/>
      <c r="B237" s="60"/>
      <c r="E237" s="44"/>
      <c r="F237" s="45"/>
      <c r="G237" s="44"/>
      <c r="H237" s="45"/>
    </row>
    <row r="238" ht="15.75" customHeight="1">
      <c r="A238" s="45"/>
      <c r="B238" s="60"/>
      <c r="E238" s="44"/>
      <c r="F238" s="45"/>
      <c r="G238" s="44"/>
      <c r="H238" s="45"/>
    </row>
    <row r="239" ht="15.75" customHeight="1">
      <c r="A239" s="45"/>
      <c r="B239" s="60"/>
      <c r="E239" s="44"/>
      <c r="F239" s="45"/>
      <c r="G239" s="44"/>
      <c r="H239" s="45"/>
    </row>
    <row r="240" ht="15.75" customHeight="1">
      <c r="A240" s="45"/>
      <c r="B240" s="60"/>
      <c r="E240" s="44"/>
      <c r="F240" s="45"/>
      <c r="G240" s="44"/>
      <c r="H240" s="45"/>
    </row>
    <row r="241" ht="15.75" customHeight="1">
      <c r="A241" s="45"/>
      <c r="B241" s="60"/>
      <c r="E241" s="44"/>
      <c r="F241" s="45"/>
      <c r="G241" s="44"/>
      <c r="H241" s="45"/>
    </row>
    <row r="242" ht="15.75" customHeight="1">
      <c r="A242" s="45"/>
      <c r="B242" s="60"/>
      <c r="E242" s="44"/>
      <c r="F242" s="45"/>
      <c r="G242" s="44"/>
      <c r="H242" s="45"/>
    </row>
    <row r="243" ht="15.75" customHeight="1">
      <c r="A243" s="45"/>
      <c r="B243" s="60"/>
      <c r="E243" s="44"/>
      <c r="F243" s="45"/>
      <c r="G243" s="44"/>
      <c r="H243" s="45"/>
    </row>
    <row r="244" ht="15.75" customHeight="1">
      <c r="A244" s="45"/>
      <c r="B244" s="60"/>
      <c r="E244" s="44"/>
      <c r="F244" s="45"/>
      <c r="G244" s="44"/>
      <c r="H244" s="45"/>
    </row>
    <row r="245" ht="15.75" customHeight="1">
      <c r="A245" s="45"/>
      <c r="B245" s="60"/>
      <c r="E245" s="44"/>
      <c r="F245" s="45"/>
      <c r="G245" s="44"/>
      <c r="H245" s="45"/>
    </row>
    <row r="246" ht="15.75" customHeight="1">
      <c r="A246" s="45"/>
      <c r="B246" s="60"/>
      <c r="E246" s="44"/>
      <c r="F246" s="45"/>
      <c r="G246" s="44"/>
      <c r="H246" s="45"/>
    </row>
    <row r="247" ht="15.75" customHeight="1">
      <c r="A247" s="45"/>
      <c r="B247" s="60"/>
      <c r="E247" s="44"/>
      <c r="F247" s="45"/>
      <c r="G247" s="44"/>
      <c r="H247" s="45"/>
    </row>
    <row r="248" ht="15.75" customHeight="1">
      <c r="A248" s="45"/>
      <c r="B248" s="60"/>
      <c r="E248" s="44"/>
      <c r="F248" s="45"/>
      <c r="G248" s="44"/>
      <c r="H248" s="45"/>
    </row>
    <row r="249" ht="15.75" customHeight="1">
      <c r="A249" s="45"/>
      <c r="B249" s="60"/>
      <c r="E249" s="44"/>
      <c r="F249" s="45"/>
      <c r="G249" s="44"/>
      <c r="H249" s="45"/>
    </row>
    <row r="250" ht="15.75" customHeight="1">
      <c r="A250" s="45"/>
      <c r="B250" s="60"/>
      <c r="E250" s="44"/>
      <c r="F250" s="45"/>
      <c r="G250" s="44"/>
      <c r="H250" s="45"/>
    </row>
    <row r="251" ht="15.75" customHeight="1">
      <c r="A251" s="45"/>
      <c r="B251" s="60"/>
      <c r="E251" s="44"/>
      <c r="F251" s="45"/>
      <c r="G251" s="44"/>
      <c r="H251" s="45"/>
    </row>
    <row r="252" ht="15.75" customHeight="1">
      <c r="A252" s="45"/>
      <c r="B252" s="60"/>
      <c r="E252" s="44"/>
      <c r="F252" s="45"/>
      <c r="G252" s="44"/>
      <c r="H252" s="45"/>
    </row>
    <row r="253" ht="15.75" customHeight="1">
      <c r="A253" s="45"/>
      <c r="B253" s="60"/>
      <c r="E253" s="44"/>
      <c r="F253" s="45"/>
      <c r="G253" s="44"/>
      <c r="H253" s="45"/>
    </row>
    <row r="254" ht="15.75" customHeight="1">
      <c r="A254" s="45"/>
      <c r="B254" s="60"/>
      <c r="E254" s="44"/>
      <c r="F254" s="45"/>
      <c r="G254" s="44"/>
      <c r="H254" s="45"/>
    </row>
    <row r="255" ht="15.75" customHeight="1">
      <c r="A255" s="45"/>
      <c r="B255" s="60"/>
      <c r="E255" s="44"/>
      <c r="F255" s="45"/>
      <c r="G255" s="44"/>
      <c r="H255" s="45"/>
    </row>
    <row r="256" ht="15.75" customHeight="1">
      <c r="A256" s="45"/>
      <c r="B256" s="60"/>
      <c r="E256" s="44"/>
      <c r="F256" s="45"/>
      <c r="G256" s="44"/>
      <c r="H256" s="45"/>
    </row>
    <row r="257" ht="15.75" customHeight="1">
      <c r="A257" s="45"/>
      <c r="B257" s="60"/>
      <c r="E257" s="44"/>
      <c r="F257" s="45"/>
      <c r="G257" s="44"/>
      <c r="H257" s="45"/>
    </row>
    <row r="258" ht="15.75" customHeight="1">
      <c r="A258" s="45"/>
      <c r="B258" s="60"/>
      <c r="E258" s="44"/>
      <c r="F258" s="45"/>
      <c r="G258" s="44"/>
      <c r="H258" s="45"/>
    </row>
    <row r="259" ht="15.75" customHeight="1">
      <c r="A259" s="45"/>
      <c r="B259" s="60"/>
      <c r="E259" s="44"/>
      <c r="F259" s="45"/>
      <c r="G259" s="44"/>
      <c r="H259" s="45"/>
    </row>
    <row r="260" ht="15.75" customHeight="1">
      <c r="A260" s="45"/>
      <c r="B260" s="60"/>
      <c r="E260" s="44"/>
      <c r="F260" s="45"/>
      <c r="G260" s="44"/>
      <c r="H260" s="45"/>
    </row>
    <row r="261" ht="15.75" customHeight="1">
      <c r="A261" s="45"/>
      <c r="B261" s="60"/>
      <c r="E261" s="44"/>
      <c r="F261" s="45"/>
      <c r="G261" s="44"/>
      <c r="H261" s="45"/>
    </row>
    <row r="262" ht="15.75" customHeight="1">
      <c r="A262" s="45"/>
      <c r="B262" s="60"/>
      <c r="E262" s="44"/>
      <c r="F262" s="45"/>
      <c r="G262" s="44"/>
      <c r="H262" s="45"/>
    </row>
    <row r="263" ht="15.75" customHeight="1">
      <c r="A263" s="45"/>
      <c r="B263" s="60"/>
      <c r="E263" s="44"/>
      <c r="F263" s="45"/>
      <c r="G263" s="44"/>
      <c r="H263" s="45"/>
    </row>
    <row r="264" ht="15.75" customHeight="1">
      <c r="A264" s="45"/>
      <c r="B264" s="60"/>
      <c r="E264" s="44"/>
      <c r="F264" s="45"/>
      <c r="G264" s="44"/>
      <c r="H264" s="45"/>
    </row>
    <row r="265" ht="15.75" customHeight="1">
      <c r="A265" s="45"/>
      <c r="B265" s="60"/>
      <c r="E265" s="44"/>
      <c r="F265" s="45"/>
      <c r="G265" s="44"/>
      <c r="H265" s="45"/>
    </row>
    <row r="266" ht="15.75" customHeight="1">
      <c r="A266" s="45"/>
      <c r="B266" s="60"/>
      <c r="E266" s="44"/>
      <c r="F266" s="45"/>
      <c r="G266" s="44"/>
      <c r="H266" s="45"/>
    </row>
    <row r="267" ht="15.75" customHeight="1">
      <c r="A267" s="45"/>
      <c r="B267" s="60"/>
      <c r="E267" s="44"/>
      <c r="F267" s="45"/>
      <c r="G267" s="44"/>
      <c r="H267" s="45"/>
    </row>
    <row r="268" ht="15.75" customHeight="1">
      <c r="A268" s="45"/>
      <c r="B268" s="60"/>
      <c r="E268" s="44"/>
      <c r="F268" s="45"/>
      <c r="G268" s="44"/>
      <c r="H268" s="45"/>
    </row>
    <row r="269" ht="15.75" customHeight="1">
      <c r="A269" s="45"/>
      <c r="B269" s="60"/>
      <c r="E269" s="44"/>
      <c r="F269" s="45"/>
      <c r="G269" s="44"/>
      <c r="H269" s="45"/>
    </row>
    <row r="270" ht="15.75" customHeight="1">
      <c r="A270" s="45"/>
      <c r="B270" s="60"/>
      <c r="E270" s="44"/>
      <c r="F270" s="45"/>
      <c r="G270" s="44"/>
      <c r="H270" s="45"/>
    </row>
    <row r="271" ht="15.75" customHeight="1">
      <c r="A271" s="45"/>
      <c r="B271" s="60"/>
      <c r="E271" s="44"/>
      <c r="F271" s="45"/>
      <c r="G271" s="44"/>
      <c r="H271" s="45"/>
    </row>
    <row r="272" ht="15.75" customHeight="1">
      <c r="A272" s="45"/>
      <c r="B272" s="60"/>
      <c r="E272" s="44"/>
      <c r="F272" s="45"/>
      <c r="G272" s="44"/>
      <c r="H272" s="45"/>
    </row>
    <row r="273" ht="15.75" customHeight="1">
      <c r="A273" s="45"/>
      <c r="B273" s="60"/>
      <c r="E273" s="44"/>
      <c r="F273" s="45"/>
      <c r="G273" s="44"/>
      <c r="H273" s="45"/>
    </row>
    <row r="274" ht="15.75" customHeight="1">
      <c r="A274" s="45"/>
      <c r="B274" s="60"/>
      <c r="E274" s="44"/>
      <c r="F274" s="45"/>
      <c r="G274" s="44"/>
      <c r="H274" s="45"/>
    </row>
    <row r="275" ht="15.75" customHeight="1">
      <c r="A275" s="45"/>
      <c r="B275" s="60"/>
      <c r="E275" s="44"/>
      <c r="F275" s="45"/>
      <c r="G275" s="44"/>
      <c r="H275" s="45"/>
    </row>
    <row r="276" ht="15.75" customHeight="1">
      <c r="A276" s="45"/>
      <c r="B276" s="60"/>
      <c r="E276" s="44"/>
      <c r="F276" s="45"/>
      <c r="G276" s="44"/>
      <c r="H276" s="45"/>
    </row>
    <row r="277" ht="15.75" customHeight="1">
      <c r="A277" s="45"/>
      <c r="B277" s="60"/>
      <c r="E277" s="44"/>
      <c r="F277" s="45"/>
      <c r="G277" s="44"/>
      <c r="H277" s="45"/>
    </row>
    <row r="278" ht="15.75" customHeight="1">
      <c r="A278" s="45"/>
      <c r="B278" s="60"/>
      <c r="E278" s="44"/>
      <c r="F278" s="45"/>
      <c r="G278" s="44"/>
      <c r="H278" s="45"/>
    </row>
    <row r="279" ht="15.75" customHeight="1">
      <c r="A279" s="45"/>
      <c r="B279" s="60"/>
      <c r="E279" s="44"/>
      <c r="F279" s="45"/>
      <c r="G279" s="44"/>
      <c r="H279" s="45"/>
    </row>
    <row r="280" ht="15.75" customHeight="1">
      <c r="A280" s="45"/>
      <c r="B280" s="60"/>
      <c r="E280" s="44"/>
      <c r="F280" s="45"/>
      <c r="G280" s="44"/>
      <c r="H280" s="45"/>
    </row>
    <row r="281" ht="15.75" customHeight="1">
      <c r="A281" s="45"/>
      <c r="B281" s="60"/>
      <c r="E281" s="44"/>
      <c r="F281" s="45"/>
      <c r="G281" s="44"/>
      <c r="H281" s="45"/>
    </row>
    <row r="282" ht="15.75" customHeight="1">
      <c r="A282" s="45"/>
      <c r="B282" s="60"/>
      <c r="E282" s="44"/>
      <c r="F282" s="45"/>
      <c r="G282" s="44"/>
      <c r="H282" s="45"/>
    </row>
    <row r="283" ht="15.75" customHeight="1">
      <c r="A283" s="45"/>
      <c r="B283" s="60"/>
      <c r="E283" s="44"/>
      <c r="F283" s="45"/>
      <c r="G283" s="44"/>
      <c r="H283" s="45"/>
    </row>
    <row r="284" ht="15.75" customHeight="1">
      <c r="A284" s="45"/>
      <c r="B284" s="60"/>
      <c r="E284" s="44"/>
      <c r="F284" s="45"/>
      <c r="G284" s="44"/>
      <c r="H284" s="45"/>
    </row>
    <row r="285" ht="15.75" customHeight="1">
      <c r="A285" s="45"/>
      <c r="B285" s="60"/>
      <c r="E285" s="44"/>
      <c r="F285" s="45"/>
      <c r="G285" s="44"/>
      <c r="H285" s="45"/>
    </row>
    <row r="286" ht="15.75" customHeight="1">
      <c r="A286" s="45"/>
      <c r="B286" s="60"/>
      <c r="E286" s="44"/>
      <c r="F286" s="45"/>
      <c r="G286" s="44"/>
      <c r="H286" s="45"/>
    </row>
    <row r="287" ht="15.75" customHeight="1">
      <c r="A287" s="45"/>
      <c r="B287" s="60"/>
      <c r="E287" s="44"/>
      <c r="F287" s="45"/>
      <c r="G287" s="44"/>
      <c r="H287" s="45"/>
    </row>
    <row r="288" ht="15.75" customHeight="1">
      <c r="A288" s="45"/>
      <c r="B288" s="60"/>
      <c r="E288" s="44"/>
      <c r="F288" s="45"/>
      <c r="G288" s="44"/>
      <c r="H288" s="45"/>
    </row>
    <row r="289" ht="15.75" customHeight="1">
      <c r="A289" s="45"/>
      <c r="B289" s="60"/>
      <c r="E289" s="44"/>
      <c r="F289" s="45"/>
      <c r="G289" s="44"/>
      <c r="H289" s="45"/>
    </row>
    <row r="290" ht="15.75" customHeight="1">
      <c r="A290" s="45"/>
      <c r="B290" s="60"/>
      <c r="E290" s="44"/>
      <c r="F290" s="45"/>
      <c r="G290" s="44"/>
      <c r="H290" s="45"/>
    </row>
    <row r="291" ht="15.75" customHeight="1">
      <c r="A291" s="45"/>
      <c r="B291" s="60"/>
      <c r="E291" s="44"/>
      <c r="F291" s="45"/>
      <c r="G291" s="44"/>
      <c r="H291" s="45"/>
    </row>
    <row r="292" ht="15.75" customHeight="1">
      <c r="A292" s="45"/>
      <c r="B292" s="60"/>
      <c r="E292" s="44"/>
      <c r="F292" s="45"/>
      <c r="G292" s="44"/>
      <c r="H292" s="45"/>
    </row>
    <row r="293" ht="15.75" customHeight="1">
      <c r="A293" s="45"/>
      <c r="B293" s="60"/>
      <c r="E293" s="44"/>
      <c r="F293" s="45"/>
      <c r="G293" s="44"/>
      <c r="H293" s="45"/>
    </row>
    <row r="294" ht="15.75" customHeight="1">
      <c r="A294" s="45"/>
      <c r="B294" s="60"/>
      <c r="E294" s="44"/>
      <c r="F294" s="45"/>
      <c r="G294" s="44"/>
      <c r="H294" s="45"/>
    </row>
    <row r="295" ht="15.75" customHeight="1">
      <c r="A295" s="45"/>
      <c r="B295" s="60"/>
      <c r="E295" s="44"/>
      <c r="F295" s="45"/>
      <c r="G295" s="44"/>
      <c r="H295" s="45"/>
    </row>
    <row r="296" ht="15.75" customHeight="1">
      <c r="A296" s="45"/>
      <c r="B296" s="60"/>
      <c r="E296" s="44"/>
      <c r="F296" s="45"/>
      <c r="G296" s="44"/>
      <c r="H296" s="45"/>
    </row>
    <row r="297" ht="15.75" customHeight="1">
      <c r="A297" s="45"/>
      <c r="B297" s="60"/>
      <c r="E297" s="44"/>
      <c r="F297" s="45"/>
      <c r="G297" s="44"/>
      <c r="H297" s="45"/>
    </row>
    <row r="298" ht="15.75" customHeight="1">
      <c r="A298" s="45"/>
      <c r="B298" s="60"/>
      <c r="E298" s="44"/>
      <c r="F298" s="45"/>
      <c r="G298" s="44"/>
      <c r="H298" s="45"/>
    </row>
    <row r="299" ht="15.75" customHeight="1">
      <c r="A299" s="45"/>
      <c r="B299" s="60"/>
      <c r="E299" s="44"/>
      <c r="F299" s="45"/>
      <c r="G299" s="44"/>
      <c r="H299" s="45"/>
    </row>
    <row r="300" ht="15.75" customHeight="1">
      <c r="A300" s="45"/>
      <c r="B300" s="60"/>
      <c r="E300" s="44"/>
      <c r="F300" s="45"/>
      <c r="G300" s="44"/>
      <c r="H300" s="45"/>
    </row>
    <row r="301" ht="15.75" customHeight="1">
      <c r="A301" s="45"/>
      <c r="B301" s="60"/>
      <c r="E301" s="44"/>
      <c r="F301" s="45"/>
      <c r="G301" s="44"/>
      <c r="H301" s="45"/>
    </row>
    <row r="302" ht="15.75" customHeight="1">
      <c r="A302" s="45"/>
      <c r="B302" s="60"/>
      <c r="E302" s="44"/>
      <c r="F302" s="45"/>
      <c r="G302" s="44"/>
      <c r="H302" s="45"/>
    </row>
    <row r="303" ht="15.75" customHeight="1">
      <c r="A303" s="45"/>
      <c r="B303" s="60"/>
      <c r="E303" s="44"/>
      <c r="F303" s="45"/>
      <c r="G303" s="44"/>
      <c r="H303" s="45"/>
    </row>
    <row r="304" ht="15.75" customHeight="1">
      <c r="A304" s="45"/>
      <c r="B304" s="60"/>
      <c r="E304" s="44"/>
      <c r="F304" s="45"/>
      <c r="G304" s="44"/>
      <c r="H304" s="45"/>
    </row>
    <row r="305" ht="15.75" customHeight="1">
      <c r="A305" s="45"/>
      <c r="B305" s="60"/>
      <c r="E305" s="44"/>
      <c r="F305" s="45"/>
      <c r="G305" s="44"/>
      <c r="H305" s="45"/>
    </row>
    <row r="306" ht="15.75" customHeight="1">
      <c r="A306" s="45"/>
      <c r="B306" s="60"/>
      <c r="E306" s="44"/>
      <c r="F306" s="45"/>
      <c r="G306" s="44"/>
      <c r="H306" s="45"/>
    </row>
    <row r="307" ht="15.75" customHeight="1">
      <c r="A307" s="45"/>
      <c r="B307" s="60"/>
      <c r="E307" s="44"/>
      <c r="F307" s="45"/>
      <c r="G307" s="44"/>
      <c r="H307" s="45"/>
    </row>
    <row r="308" ht="15.75" customHeight="1">
      <c r="A308" s="45"/>
      <c r="B308" s="60"/>
      <c r="E308" s="44"/>
      <c r="F308" s="45"/>
      <c r="G308" s="44"/>
      <c r="H308" s="45"/>
    </row>
    <row r="309" ht="15.75" customHeight="1">
      <c r="A309" s="45"/>
      <c r="B309" s="60"/>
      <c r="E309" s="44"/>
      <c r="F309" s="45"/>
      <c r="G309" s="44"/>
      <c r="H309" s="45"/>
    </row>
    <row r="310" ht="15.75" customHeight="1">
      <c r="A310" s="45"/>
      <c r="B310" s="60"/>
      <c r="E310" s="44"/>
      <c r="F310" s="45"/>
      <c r="G310" s="44"/>
      <c r="H310" s="45"/>
    </row>
    <row r="311" ht="15.75" customHeight="1">
      <c r="A311" s="45"/>
      <c r="B311" s="60"/>
      <c r="E311" s="44"/>
      <c r="F311" s="45"/>
      <c r="G311" s="44"/>
      <c r="H311" s="45"/>
    </row>
    <row r="312" ht="15.75" customHeight="1">
      <c r="A312" s="45"/>
      <c r="B312" s="60"/>
      <c r="E312" s="44"/>
      <c r="F312" s="45"/>
      <c r="G312" s="44"/>
      <c r="H312" s="45"/>
    </row>
    <row r="313" ht="15.75" customHeight="1">
      <c r="A313" s="45"/>
      <c r="B313" s="60"/>
      <c r="E313" s="44"/>
      <c r="F313" s="45"/>
      <c r="G313" s="44"/>
      <c r="H313" s="45"/>
    </row>
    <row r="314" ht="15.75" customHeight="1">
      <c r="A314" s="45"/>
      <c r="B314" s="60"/>
      <c r="E314" s="44"/>
      <c r="F314" s="45"/>
      <c r="G314" s="44"/>
      <c r="H314" s="45"/>
    </row>
    <row r="315" ht="15.75" customHeight="1">
      <c r="A315" s="45"/>
      <c r="B315" s="60"/>
      <c r="E315" s="44"/>
      <c r="F315" s="45"/>
      <c r="G315" s="44"/>
      <c r="H315" s="45"/>
    </row>
    <row r="316" ht="15.75" customHeight="1">
      <c r="A316" s="45"/>
      <c r="B316" s="60"/>
      <c r="E316" s="44"/>
      <c r="F316" s="45"/>
      <c r="G316" s="44"/>
      <c r="H316" s="45"/>
    </row>
    <row r="317" ht="15.75" customHeight="1">
      <c r="A317" s="45"/>
      <c r="B317" s="60"/>
      <c r="E317" s="44"/>
      <c r="F317" s="45"/>
      <c r="G317" s="44"/>
      <c r="H317" s="45"/>
    </row>
    <row r="318" ht="15.75" customHeight="1">
      <c r="A318" s="45"/>
      <c r="B318" s="60"/>
      <c r="E318" s="44"/>
      <c r="F318" s="45"/>
      <c r="G318" s="44"/>
      <c r="H318" s="45"/>
    </row>
    <row r="319" ht="15.75" customHeight="1">
      <c r="A319" s="45"/>
      <c r="B319" s="60"/>
      <c r="E319" s="44"/>
      <c r="F319" s="45"/>
      <c r="G319" s="44"/>
      <c r="H319" s="45"/>
    </row>
    <row r="320" ht="15.75" customHeight="1">
      <c r="A320" s="45"/>
      <c r="B320" s="60"/>
      <c r="E320" s="44"/>
      <c r="F320" s="45"/>
      <c r="G320" s="44"/>
      <c r="H320" s="45"/>
    </row>
    <row r="321" ht="15.75" customHeight="1">
      <c r="A321" s="45"/>
      <c r="B321" s="60"/>
      <c r="E321" s="44"/>
      <c r="F321" s="45"/>
      <c r="G321" s="44"/>
      <c r="H321" s="45"/>
    </row>
    <row r="322" ht="15.75" customHeight="1">
      <c r="A322" s="45"/>
      <c r="B322" s="60"/>
      <c r="E322" s="44"/>
      <c r="F322" s="45"/>
      <c r="G322" s="44"/>
      <c r="H322" s="45"/>
    </row>
    <row r="323" ht="15.75" customHeight="1">
      <c r="A323" s="45"/>
      <c r="B323" s="60"/>
      <c r="E323" s="44"/>
      <c r="F323" s="45"/>
      <c r="G323" s="44"/>
      <c r="H323" s="45"/>
    </row>
    <row r="324" ht="15.75" customHeight="1">
      <c r="A324" s="45"/>
      <c r="B324" s="60"/>
      <c r="E324" s="44"/>
      <c r="F324" s="45"/>
      <c r="G324" s="44"/>
      <c r="H324" s="45"/>
    </row>
    <row r="325" ht="15.75" customHeight="1">
      <c r="A325" s="45"/>
      <c r="B325" s="60"/>
      <c r="E325" s="44"/>
      <c r="F325" s="45"/>
      <c r="G325" s="44"/>
      <c r="H325" s="45"/>
    </row>
    <row r="326" ht="15.75" customHeight="1">
      <c r="A326" s="45"/>
      <c r="B326" s="60"/>
      <c r="E326" s="44"/>
      <c r="F326" s="45"/>
      <c r="G326" s="44"/>
      <c r="H326" s="45"/>
    </row>
    <row r="327" ht="15.75" customHeight="1">
      <c r="A327" s="45"/>
      <c r="B327" s="60"/>
      <c r="E327" s="44"/>
      <c r="F327" s="45"/>
      <c r="G327" s="44"/>
      <c r="H327" s="45"/>
    </row>
    <row r="328" ht="15.75" customHeight="1">
      <c r="A328" s="45"/>
      <c r="B328" s="60"/>
      <c r="E328" s="44"/>
      <c r="F328" s="45"/>
      <c r="G328" s="44"/>
      <c r="H328" s="45"/>
    </row>
    <row r="329" ht="15.75" customHeight="1">
      <c r="A329" s="45"/>
      <c r="B329" s="60"/>
      <c r="E329" s="44"/>
      <c r="F329" s="45"/>
      <c r="G329" s="44"/>
      <c r="H329" s="45"/>
    </row>
    <row r="330" ht="15.75" customHeight="1">
      <c r="A330" s="45"/>
      <c r="B330" s="60"/>
      <c r="E330" s="44"/>
      <c r="F330" s="45"/>
      <c r="G330" s="44"/>
      <c r="H330" s="45"/>
    </row>
    <row r="331" ht="15.75" customHeight="1">
      <c r="A331" s="45"/>
      <c r="B331" s="60"/>
      <c r="E331" s="44"/>
      <c r="F331" s="45"/>
      <c r="G331" s="44"/>
      <c r="H331" s="45"/>
    </row>
    <row r="332" ht="15.75" customHeight="1">
      <c r="A332" s="45"/>
      <c r="B332" s="60"/>
      <c r="E332" s="44"/>
      <c r="F332" s="45"/>
      <c r="G332" s="44"/>
      <c r="H332" s="45"/>
    </row>
    <row r="333" ht="15.75" customHeight="1">
      <c r="A333" s="45"/>
      <c r="B333" s="60"/>
      <c r="E333" s="44"/>
      <c r="F333" s="45"/>
      <c r="G333" s="44"/>
      <c r="H333" s="45"/>
    </row>
    <row r="334" ht="15.75" customHeight="1">
      <c r="A334" s="45"/>
      <c r="B334" s="60"/>
      <c r="E334" s="44"/>
      <c r="F334" s="45"/>
      <c r="G334" s="44"/>
      <c r="H334" s="45"/>
    </row>
    <row r="335" ht="15.75" customHeight="1">
      <c r="A335" s="45"/>
      <c r="B335" s="60"/>
      <c r="E335" s="44"/>
      <c r="F335" s="45"/>
      <c r="G335" s="44"/>
      <c r="H335" s="45"/>
    </row>
    <row r="336" ht="15.75" customHeight="1">
      <c r="A336" s="45"/>
      <c r="B336" s="60"/>
      <c r="E336" s="44"/>
      <c r="F336" s="45"/>
      <c r="G336" s="44"/>
      <c r="H336" s="45"/>
    </row>
    <row r="337" ht="15.75" customHeight="1">
      <c r="A337" s="45"/>
      <c r="B337" s="60"/>
      <c r="E337" s="44"/>
      <c r="F337" s="45"/>
      <c r="G337" s="44"/>
      <c r="H337" s="45"/>
    </row>
    <row r="338" ht="15.75" customHeight="1">
      <c r="A338" s="45"/>
      <c r="B338" s="60"/>
      <c r="E338" s="44"/>
      <c r="F338" s="45"/>
      <c r="G338" s="44"/>
      <c r="H338" s="45"/>
    </row>
    <row r="339" ht="15.75" customHeight="1">
      <c r="A339" s="45"/>
      <c r="B339" s="60"/>
      <c r="E339" s="44"/>
      <c r="F339" s="45"/>
      <c r="G339" s="44"/>
      <c r="H339" s="45"/>
    </row>
    <row r="340" ht="15.75" customHeight="1">
      <c r="A340" s="45"/>
      <c r="B340" s="60"/>
      <c r="E340" s="44"/>
      <c r="F340" s="45"/>
      <c r="G340" s="44"/>
      <c r="H340" s="45"/>
    </row>
    <row r="341" ht="15.75" customHeight="1">
      <c r="A341" s="45"/>
      <c r="B341" s="60"/>
      <c r="E341" s="44"/>
      <c r="F341" s="45"/>
      <c r="G341" s="44"/>
      <c r="H341" s="45"/>
    </row>
    <row r="342" ht="15.75" customHeight="1">
      <c r="A342" s="45"/>
      <c r="B342" s="60"/>
      <c r="E342" s="44"/>
      <c r="F342" s="45"/>
      <c r="G342" s="44"/>
      <c r="H342" s="45"/>
    </row>
    <row r="343" ht="15.75" customHeight="1">
      <c r="A343" s="45"/>
      <c r="B343" s="60"/>
      <c r="E343" s="44"/>
      <c r="F343" s="45"/>
      <c r="G343" s="44"/>
      <c r="H343" s="45"/>
    </row>
    <row r="344" ht="15.75" customHeight="1">
      <c r="A344" s="45"/>
      <c r="B344" s="60"/>
      <c r="E344" s="44"/>
      <c r="F344" s="45"/>
      <c r="G344" s="44"/>
      <c r="H344" s="45"/>
    </row>
    <row r="345" ht="15.75" customHeight="1">
      <c r="A345" s="45"/>
      <c r="B345" s="60"/>
      <c r="E345" s="44"/>
      <c r="F345" s="45"/>
      <c r="G345" s="44"/>
      <c r="H345" s="45"/>
    </row>
    <row r="346" ht="15.75" customHeight="1">
      <c r="A346" s="45"/>
      <c r="B346" s="60"/>
      <c r="E346" s="44"/>
      <c r="F346" s="45"/>
      <c r="G346" s="44"/>
      <c r="H346" s="45"/>
    </row>
    <row r="347" ht="15.75" customHeight="1">
      <c r="A347" s="45"/>
      <c r="B347" s="60"/>
      <c r="E347" s="44"/>
      <c r="F347" s="45"/>
      <c r="G347" s="44"/>
      <c r="H347" s="45"/>
    </row>
    <row r="348" ht="15.75" customHeight="1">
      <c r="A348" s="45"/>
      <c r="B348" s="60"/>
      <c r="E348" s="44"/>
      <c r="F348" s="45"/>
      <c r="G348" s="44"/>
      <c r="H348" s="45"/>
    </row>
    <row r="349" ht="15.75" customHeight="1">
      <c r="A349" s="45"/>
      <c r="B349" s="60"/>
      <c r="E349" s="44"/>
      <c r="F349" s="45"/>
      <c r="G349" s="44"/>
      <c r="H349" s="45"/>
    </row>
    <row r="350" ht="15.75" customHeight="1">
      <c r="A350" s="45"/>
      <c r="B350" s="60"/>
      <c r="E350" s="44"/>
      <c r="F350" s="45"/>
      <c r="G350" s="44"/>
      <c r="H350" s="45"/>
    </row>
    <row r="351" ht="15.75" customHeight="1">
      <c r="A351" s="45"/>
      <c r="B351" s="60"/>
      <c r="E351" s="44"/>
      <c r="F351" s="45"/>
      <c r="G351" s="44"/>
      <c r="H351" s="45"/>
    </row>
    <row r="352" ht="15.75" customHeight="1">
      <c r="A352" s="45"/>
      <c r="B352" s="60"/>
      <c r="E352" s="44"/>
      <c r="F352" s="45"/>
      <c r="G352" s="44"/>
      <c r="H352" s="45"/>
    </row>
    <row r="353" ht="15.75" customHeight="1">
      <c r="A353" s="45"/>
      <c r="B353" s="60"/>
      <c r="E353" s="44"/>
      <c r="F353" s="45"/>
      <c r="G353" s="44"/>
      <c r="H353" s="45"/>
    </row>
    <row r="354" ht="15.75" customHeight="1">
      <c r="A354" s="45"/>
      <c r="B354" s="60"/>
      <c r="E354" s="44"/>
      <c r="F354" s="45"/>
      <c r="G354" s="44"/>
      <c r="H354" s="45"/>
    </row>
    <row r="355" ht="15.75" customHeight="1">
      <c r="A355" s="45"/>
      <c r="B355" s="60"/>
      <c r="E355" s="44"/>
      <c r="F355" s="45"/>
      <c r="G355" s="44"/>
      <c r="H355" s="45"/>
    </row>
    <row r="356" ht="15.75" customHeight="1">
      <c r="A356" s="45"/>
      <c r="B356" s="60"/>
      <c r="E356" s="44"/>
      <c r="F356" s="45"/>
      <c r="G356" s="44"/>
      <c r="H356" s="45"/>
    </row>
    <row r="357" ht="15.75" customHeight="1">
      <c r="A357" s="45"/>
      <c r="B357" s="60"/>
      <c r="E357" s="44"/>
      <c r="F357" s="45"/>
      <c r="G357" s="44"/>
      <c r="H357" s="45"/>
    </row>
    <row r="358" ht="15.75" customHeight="1">
      <c r="A358" s="45"/>
      <c r="B358" s="60"/>
      <c r="E358" s="44"/>
      <c r="F358" s="45"/>
      <c r="G358" s="44"/>
      <c r="H358" s="45"/>
    </row>
    <row r="359" ht="15.75" customHeight="1">
      <c r="A359" s="45"/>
      <c r="B359" s="60"/>
      <c r="E359" s="44"/>
      <c r="F359" s="45"/>
      <c r="G359" s="44"/>
      <c r="H359" s="45"/>
    </row>
    <row r="360" ht="15.75" customHeight="1">
      <c r="A360" s="45"/>
      <c r="B360" s="60"/>
      <c r="E360" s="44"/>
      <c r="F360" s="45"/>
      <c r="G360" s="44"/>
      <c r="H360" s="45"/>
    </row>
    <row r="361" ht="15.75" customHeight="1">
      <c r="A361" s="45"/>
      <c r="B361" s="60"/>
      <c r="E361" s="44"/>
      <c r="F361" s="45"/>
      <c r="G361" s="44"/>
      <c r="H361" s="45"/>
    </row>
    <row r="362" ht="15.75" customHeight="1">
      <c r="A362" s="45"/>
      <c r="B362" s="60"/>
      <c r="E362" s="44"/>
      <c r="F362" s="45"/>
      <c r="G362" s="44"/>
      <c r="H362" s="45"/>
    </row>
    <row r="363" ht="15.75" customHeight="1">
      <c r="A363" s="45"/>
      <c r="B363" s="60"/>
      <c r="E363" s="44"/>
      <c r="F363" s="45"/>
      <c r="G363" s="44"/>
      <c r="H363" s="45"/>
    </row>
    <row r="364" ht="15.75" customHeight="1">
      <c r="A364" s="45"/>
      <c r="B364" s="60"/>
      <c r="E364" s="44"/>
      <c r="F364" s="45"/>
      <c r="G364" s="44"/>
      <c r="H364" s="45"/>
    </row>
    <row r="365" ht="15.75" customHeight="1">
      <c r="A365" s="45"/>
      <c r="B365" s="60"/>
      <c r="E365" s="44"/>
      <c r="F365" s="45"/>
      <c r="G365" s="44"/>
      <c r="H365" s="45"/>
    </row>
    <row r="366" ht="15.75" customHeight="1">
      <c r="C366" s="45"/>
      <c r="G366" s="44"/>
      <c r="H366" s="45"/>
    </row>
    <row r="367" ht="15.75" customHeight="1">
      <c r="C367" s="45"/>
      <c r="G367" s="44"/>
      <c r="H367" s="45"/>
    </row>
    <row r="368" ht="15.75" customHeight="1">
      <c r="C368" s="45"/>
      <c r="G368" s="44"/>
      <c r="H368" s="45"/>
    </row>
    <row r="369" ht="15.75" customHeight="1">
      <c r="C369" s="45"/>
      <c r="G369" s="44"/>
      <c r="H369" s="45"/>
    </row>
    <row r="370" ht="15.75" customHeight="1">
      <c r="C370" s="45"/>
      <c r="G370" s="44"/>
      <c r="H370" s="45"/>
    </row>
    <row r="371" ht="15.75" customHeight="1">
      <c r="C371" s="45"/>
      <c r="G371" s="44"/>
      <c r="H371" s="45"/>
    </row>
    <row r="372" ht="15.75" customHeight="1">
      <c r="C372" s="45"/>
      <c r="G372" s="44"/>
      <c r="H372" s="45"/>
    </row>
    <row r="373" ht="15.75" customHeight="1">
      <c r="C373" s="45"/>
      <c r="G373" s="44"/>
      <c r="H373" s="45"/>
    </row>
    <row r="374" ht="15.75" customHeight="1">
      <c r="C374" s="45"/>
      <c r="G374" s="44"/>
      <c r="H374" s="45"/>
    </row>
    <row r="375" ht="15.75" customHeight="1">
      <c r="C375" s="45"/>
      <c r="G375" s="44"/>
      <c r="H375" s="45"/>
    </row>
    <row r="376" ht="15.75" customHeight="1">
      <c r="C376" s="45"/>
      <c r="G376" s="44"/>
      <c r="H376" s="45"/>
    </row>
    <row r="377" ht="15.75" customHeight="1">
      <c r="C377" s="45"/>
      <c r="G377" s="44"/>
      <c r="H377" s="45"/>
    </row>
    <row r="378" ht="15.75" customHeight="1">
      <c r="C378" s="45"/>
      <c r="G378" s="44"/>
      <c r="H378" s="45"/>
    </row>
    <row r="379" ht="15.75" customHeight="1">
      <c r="C379" s="45"/>
      <c r="G379" s="44"/>
      <c r="H379" s="45"/>
    </row>
    <row r="380" ht="15.75" customHeight="1">
      <c r="C380" s="45"/>
      <c r="G380" s="44"/>
      <c r="H380" s="45"/>
    </row>
    <row r="381" ht="15.75" customHeight="1">
      <c r="C381" s="45"/>
      <c r="G381" s="44"/>
      <c r="H381" s="45"/>
    </row>
    <row r="382" ht="15.75" customHeight="1">
      <c r="C382" s="45"/>
      <c r="G382" s="44"/>
      <c r="H382" s="45"/>
    </row>
    <row r="383" ht="15.75" customHeight="1">
      <c r="C383" s="45"/>
      <c r="G383" s="44"/>
      <c r="H383" s="45"/>
    </row>
    <row r="384" ht="15.75" customHeight="1">
      <c r="C384" s="45"/>
      <c r="G384" s="44"/>
      <c r="H384" s="45"/>
    </row>
    <row r="385" ht="15.75" customHeight="1">
      <c r="C385" s="45"/>
      <c r="G385" s="44"/>
      <c r="H385" s="45"/>
    </row>
    <row r="386" ht="15.75" customHeight="1">
      <c r="C386" s="45"/>
      <c r="G386" s="44"/>
      <c r="H386" s="45"/>
    </row>
    <row r="387" ht="15.75" customHeight="1">
      <c r="C387" s="45"/>
      <c r="G387" s="44"/>
      <c r="H387" s="45"/>
    </row>
    <row r="388" ht="15.75" customHeight="1">
      <c r="C388" s="45"/>
      <c r="G388" s="44"/>
      <c r="H388" s="45"/>
    </row>
    <row r="389" ht="15.75" customHeight="1">
      <c r="C389" s="45"/>
      <c r="G389" s="44"/>
      <c r="H389" s="45"/>
    </row>
    <row r="390" ht="15.75" customHeight="1">
      <c r="C390" s="45"/>
      <c r="G390" s="44"/>
      <c r="H390" s="45"/>
    </row>
    <row r="391" ht="15.75" customHeight="1">
      <c r="C391" s="45"/>
      <c r="G391" s="44"/>
      <c r="H391" s="45"/>
    </row>
    <row r="392" ht="15.75" customHeight="1">
      <c r="C392" s="45"/>
      <c r="G392" s="44"/>
      <c r="H392" s="45"/>
    </row>
    <row r="393" ht="15.75" customHeight="1">
      <c r="C393" s="45"/>
      <c r="G393" s="44"/>
      <c r="H393" s="45"/>
    </row>
    <row r="394" ht="15.75" customHeight="1">
      <c r="C394" s="45"/>
      <c r="G394" s="44"/>
      <c r="H394" s="45"/>
    </row>
    <row r="395" ht="15.75" customHeight="1">
      <c r="C395" s="45"/>
      <c r="G395" s="44"/>
      <c r="H395" s="45"/>
    </row>
    <row r="396" ht="15.75" customHeight="1">
      <c r="C396" s="45"/>
      <c r="G396" s="44"/>
      <c r="H396" s="45"/>
    </row>
    <row r="397" ht="15.75" customHeight="1">
      <c r="C397" s="45"/>
      <c r="G397" s="44"/>
      <c r="H397" s="45"/>
    </row>
    <row r="398" ht="15.75" customHeight="1">
      <c r="C398" s="45"/>
      <c r="G398" s="44"/>
      <c r="H398" s="45"/>
    </row>
    <row r="399" ht="15.75" customHeight="1">
      <c r="C399" s="45"/>
      <c r="G399" s="44"/>
      <c r="H399" s="45"/>
    </row>
    <row r="400" ht="15.75" customHeight="1">
      <c r="C400" s="45"/>
      <c r="G400" s="44"/>
      <c r="H400" s="45"/>
    </row>
    <row r="401" ht="15.75" customHeight="1">
      <c r="C401" s="45"/>
      <c r="G401" s="44"/>
      <c r="H401" s="45"/>
    </row>
    <row r="402" ht="15.75" customHeight="1">
      <c r="C402" s="45"/>
      <c r="G402" s="44"/>
      <c r="H402" s="45"/>
    </row>
    <row r="403" ht="15.75" customHeight="1">
      <c r="C403" s="45"/>
      <c r="G403" s="44"/>
      <c r="H403" s="45"/>
    </row>
    <row r="404" ht="15.75" customHeight="1">
      <c r="C404" s="45"/>
      <c r="G404" s="44"/>
      <c r="H404" s="45"/>
    </row>
    <row r="405" ht="15.75" customHeight="1">
      <c r="C405" s="45"/>
      <c r="G405" s="44"/>
      <c r="H405" s="45"/>
    </row>
    <row r="406" ht="15.75" customHeight="1">
      <c r="C406" s="45"/>
      <c r="G406" s="44"/>
      <c r="H406" s="45"/>
    </row>
    <row r="407" ht="15.75" customHeight="1">
      <c r="C407" s="45"/>
      <c r="G407" s="44"/>
      <c r="H407" s="45"/>
    </row>
    <row r="408" ht="15.75" customHeight="1">
      <c r="C408" s="45"/>
      <c r="G408" s="44"/>
      <c r="H408" s="45"/>
    </row>
    <row r="409" ht="15.75" customHeight="1">
      <c r="C409" s="45"/>
      <c r="G409" s="44"/>
      <c r="H409" s="45"/>
    </row>
    <row r="410" ht="15.75" customHeight="1">
      <c r="C410" s="45"/>
      <c r="G410" s="44"/>
      <c r="H410" s="45"/>
    </row>
    <row r="411" ht="15.75" customHeight="1">
      <c r="C411" s="45"/>
      <c r="G411" s="44"/>
      <c r="H411" s="45"/>
    </row>
    <row r="412" ht="15.75" customHeight="1">
      <c r="C412" s="45"/>
      <c r="G412" s="44"/>
      <c r="H412" s="45"/>
    </row>
    <row r="413" ht="15.75" customHeight="1">
      <c r="C413" s="45"/>
      <c r="G413" s="44"/>
      <c r="H413" s="45"/>
    </row>
    <row r="414" ht="15.75" customHeight="1">
      <c r="C414" s="45"/>
      <c r="G414" s="44"/>
      <c r="H414" s="45"/>
    </row>
    <row r="415" ht="15.75" customHeight="1">
      <c r="C415" s="45"/>
      <c r="G415" s="44"/>
      <c r="H415" s="45"/>
    </row>
    <row r="416" ht="15.75" customHeight="1">
      <c r="C416" s="45"/>
      <c r="G416" s="44"/>
      <c r="H416" s="45"/>
    </row>
    <row r="417" ht="15.75" customHeight="1">
      <c r="C417" s="45"/>
      <c r="G417" s="44"/>
      <c r="H417" s="45"/>
    </row>
    <row r="418" ht="15.75" customHeight="1">
      <c r="C418" s="45"/>
      <c r="G418" s="44"/>
      <c r="H418" s="45"/>
    </row>
    <row r="419" ht="15.75" customHeight="1">
      <c r="C419" s="45"/>
      <c r="G419" s="44"/>
      <c r="H419" s="45"/>
    </row>
    <row r="420" ht="15.75" customHeight="1">
      <c r="C420" s="45"/>
      <c r="G420" s="44"/>
      <c r="H420" s="45"/>
    </row>
    <row r="421" ht="15.75" customHeight="1">
      <c r="C421" s="45"/>
      <c r="G421" s="44"/>
      <c r="H421" s="45"/>
    </row>
    <row r="422" ht="15.75" customHeight="1">
      <c r="C422" s="45"/>
      <c r="G422" s="44"/>
      <c r="H422" s="45"/>
    </row>
    <row r="423" ht="15.75" customHeight="1">
      <c r="C423" s="45"/>
      <c r="G423" s="44"/>
      <c r="H423" s="45"/>
    </row>
    <row r="424" ht="15.75" customHeight="1">
      <c r="C424" s="45"/>
      <c r="G424" s="44"/>
      <c r="H424" s="45"/>
    </row>
    <row r="425" ht="15.75" customHeight="1">
      <c r="C425" s="45"/>
      <c r="G425" s="44"/>
      <c r="H425" s="45"/>
    </row>
    <row r="426" ht="15.75" customHeight="1">
      <c r="C426" s="45"/>
      <c r="G426" s="44"/>
      <c r="H426" s="45"/>
    </row>
    <row r="427" ht="15.75" customHeight="1">
      <c r="C427" s="45"/>
      <c r="G427" s="44"/>
      <c r="H427" s="45"/>
    </row>
    <row r="428" ht="15.75" customHeight="1">
      <c r="C428" s="45"/>
      <c r="G428" s="44"/>
      <c r="H428" s="45"/>
    </row>
    <row r="429" ht="15.75" customHeight="1">
      <c r="C429" s="45"/>
      <c r="G429" s="44"/>
      <c r="H429" s="45"/>
    </row>
    <row r="430" ht="15.75" customHeight="1">
      <c r="C430" s="45"/>
      <c r="G430" s="44"/>
      <c r="H430" s="45"/>
    </row>
    <row r="431" ht="15.75" customHeight="1">
      <c r="C431" s="45"/>
      <c r="G431" s="44"/>
      <c r="H431" s="45"/>
    </row>
    <row r="432" ht="15.75" customHeight="1">
      <c r="C432" s="45"/>
      <c r="G432" s="44"/>
      <c r="H432" s="45"/>
    </row>
    <row r="433" ht="15.75" customHeight="1">
      <c r="C433" s="45"/>
      <c r="G433" s="44"/>
      <c r="H433" s="45"/>
    </row>
    <row r="434" ht="15.75" customHeight="1">
      <c r="C434" s="45"/>
      <c r="G434" s="44"/>
      <c r="H434" s="45"/>
    </row>
    <row r="435" ht="15.75" customHeight="1">
      <c r="C435" s="45"/>
      <c r="G435" s="44"/>
      <c r="H435" s="45"/>
    </row>
    <row r="436" ht="15.75" customHeight="1">
      <c r="C436" s="45"/>
      <c r="G436" s="44"/>
      <c r="H436" s="45"/>
    </row>
    <row r="437" ht="15.75" customHeight="1">
      <c r="C437" s="45"/>
      <c r="G437" s="44"/>
      <c r="H437" s="45"/>
    </row>
    <row r="438" ht="15.75" customHeight="1">
      <c r="C438" s="45"/>
      <c r="G438" s="44"/>
      <c r="H438" s="45"/>
    </row>
    <row r="439" ht="15.75" customHeight="1">
      <c r="C439" s="45"/>
      <c r="G439" s="44"/>
      <c r="H439" s="45"/>
    </row>
    <row r="440" ht="15.75" customHeight="1">
      <c r="C440" s="45"/>
      <c r="G440" s="44"/>
      <c r="H440" s="45"/>
    </row>
    <row r="441" ht="15.75" customHeight="1">
      <c r="C441" s="45"/>
      <c r="G441" s="44"/>
      <c r="H441" s="45"/>
    </row>
    <row r="442" ht="15.75" customHeight="1">
      <c r="C442" s="45"/>
      <c r="G442" s="44"/>
      <c r="H442" s="45"/>
    </row>
    <row r="443" ht="15.75" customHeight="1">
      <c r="C443" s="45"/>
      <c r="G443" s="44"/>
      <c r="H443" s="45"/>
    </row>
    <row r="444" ht="15.75" customHeight="1">
      <c r="C444" s="45"/>
      <c r="G444" s="44"/>
      <c r="H444" s="45"/>
    </row>
    <row r="445" ht="15.75" customHeight="1">
      <c r="C445" s="45"/>
      <c r="G445" s="44"/>
      <c r="H445" s="45"/>
    </row>
    <row r="446" ht="15.75" customHeight="1">
      <c r="C446" s="45"/>
      <c r="G446" s="44"/>
      <c r="H446" s="45"/>
    </row>
    <row r="447" ht="15.75" customHeight="1">
      <c r="C447" s="45"/>
      <c r="G447" s="44"/>
      <c r="H447" s="45"/>
    </row>
    <row r="448" ht="15.75" customHeight="1">
      <c r="C448" s="45"/>
      <c r="G448" s="44"/>
      <c r="H448" s="45"/>
    </row>
    <row r="449" ht="15.75" customHeight="1">
      <c r="C449" s="45"/>
      <c r="G449" s="44"/>
      <c r="H449" s="45"/>
    </row>
    <row r="450" ht="15.75" customHeight="1">
      <c r="C450" s="45"/>
      <c r="G450" s="44"/>
      <c r="H450" s="45"/>
    </row>
    <row r="451" ht="15.75" customHeight="1">
      <c r="C451" s="45"/>
      <c r="G451" s="44"/>
      <c r="H451" s="45"/>
    </row>
    <row r="452" ht="15.75" customHeight="1">
      <c r="C452" s="45"/>
      <c r="G452" s="44"/>
      <c r="H452" s="45"/>
    </row>
    <row r="453" ht="15.75" customHeight="1">
      <c r="C453" s="45"/>
      <c r="G453" s="44"/>
      <c r="H453" s="45"/>
    </row>
    <row r="454" ht="15.75" customHeight="1">
      <c r="C454" s="45"/>
      <c r="G454" s="44"/>
      <c r="H454" s="45"/>
    </row>
    <row r="455" ht="15.75" customHeight="1">
      <c r="C455" s="45"/>
      <c r="G455" s="44"/>
      <c r="H455" s="45"/>
    </row>
    <row r="456" ht="15.75" customHeight="1">
      <c r="C456" s="45"/>
      <c r="G456" s="44"/>
      <c r="H456" s="45"/>
    </row>
    <row r="457" ht="15.75" customHeight="1">
      <c r="C457" s="45"/>
      <c r="G457" s="44"/>
      <c r="H457" s="45"/>
    </row>
    <row r="458" ht="15.75" customHeight="1">
      <c r="C458" s="45"/>
      <c r="G458" s="44"/>
      <c r="H458" s="45"/>
    </row>
    <row r="459" ht="15.75" customHeight="1">
      <c r="C459" s="45"/>
      <c r="G459" s="44"/>
      <c r="H459" s="45"/>
    </row>
    <row r="460" ht="15.75" customHeight="1">
      <c r="C460" s="45"/>
      <c r="G460" s="44"/>
      <c r="H460" s="45"/>
    </row>
    <row r="461" ht="15.75" customHeight="1">
      <c r="C461" s="45"/>
      <c r="G461" s="44"/>
      <c r="H461" s="45"/>
    </row>
    <row r="462" ht="15.75" customHeight="1">
      <c r="C462" s="45"/>
      <c r="G462" s="44"/>
      <c r="H462" s="45"/>
    </row>
    <row r="463" ht="15.75" customHeight="1">
      <c r="C463" s="45"/>
      <c r="G463" s="44"/>
      <c r="H463" s="45"/>
    </row>
    <row r="464" ht="15.75" customHeight="1">
      <c r="C464" s="45"/>
      <c r="G464" s="44"/>
      <c r="H464" s="45"/>
    </row>
    <row r="465" ht="15.75" customHeight="1">
      <c r="C465" s="45"/>
      <c r="G465" s="44"/>
      <c r="H465" s="45"/>
    </row>
    <row r="466" ht="15.75" customHeight="1">
      <c r="C466" s="45"/>
      <c r="G466" s="44"/>
      <c r="H466" s="45"/>
    </row>
    <row r="467" ht="15.75" customHeight="1">
      <c r="C467" s="45"/>
      <c r="G467" s="44"/>
      <c r="H467" s="45"/>
    </row>
    <row r="468" ht="15.75" customHeight="1">
      <c r="C468" s="45"/>
      <c r="G468" s="44"/>
      <c r="H468" s="45"/>
    </row>
    <row r="469" ht="15.75" customHeight="1">
      <c r="C469" s="45"/>
      <c r="G469" s="44"/>
      <c r="H469" s="45"/>
    </row>
    <row r="470" ht="15.75" customHeight="1">
      <c r="C470" s="45"/>
      <c r="G470" s="44"/>
      <c r="H470" s="45"/>
    </row>
    <row r="471" ht="15.75" customHeight="1">
      <c r="C471" s="45"/>
      <c r="G471" s="44"/>
      <c r="H471" s="45"/>
    </row>
    <row r="472" ht="15.75" customHeight="1">
      <c r="C472" s="45"/>
      <c r="G472" s="44"/>
      <c r="H472" s="45"/>
    </row>
    <row r="473" ht="15.75" customHeight="1">
      <c r="C473" s="45"/>
      <c r="G473" s="44"/>
      <c r="H473" s="45"/>
    </row>
    <row r="474" ht="15.75" customHeight="1">
      <c r="C474" s="45"/>
      <c r="G474" s="44"/>
      <c r="H474" s="45"/>
    </row>
    <row r="475" ht="15.75" customHeight="1">
      <c r="C475" s="45"/>
      <c r="G475" s="44"/>
      <c r="H475" s="45"/>
    </row>
    <row r="476" ht="15.75" customHeight="1">
      <c r="C476" s="45"/>
      <c r="G476" s="44"/>
      <c r="H476" s="45"/>
    </row>
    <row r="477" ht="15.75" customHeight="1">
      <c r="C477" s="45"/>
      <c r="G477" s="44"/>
      <c r="H477" s="45"/>
    </row>
    <row r="478" ht="15.75" customHeight="1">
      <c r="C478" s="45"/>
      <c r="G478" s="44"/>
      <c r="H478" s="45"/>
    </row>
    <row r="479" ht="15.75" customHeight="1">
      <c r="C479" s="45"/>
      <c r="G479" s="44"/>
      <c r="H479" s="45"/>
    </row>
    <row r="480" ht="15.75" customHeight="1">
      <c r="C480" s="45"/>
      <c r="G480" s="44"/>
      <c r="H480" s="45"/>
    </row>
    <row r="481" ht="15.75" customHeight="1">
      <c r="C481" s="45"/>
      <c r="G481" s="44"/>
      <c r="H481" s="45"/>
    </row>
    <row r="482" ht="15.75" customHeight="1">
      <c r="C482" s="45"/>
      <c r="G482" s="44"/>
      <c r="H482" s="45"/>
    </row>
    <row r="483" ht="15.75" customHeight="1">
      <c r="C483" s="45"/>
      <c r="G483" s="44"/>
      <c r="H483" s="45"/>
    </row>
    <row r="484" ht="15.75" customHeight="1">
      <c r="C484" s="45"/>
      <c r="G484" s="44"/>
      <c r="H484" s="45"/>
    </row>
    <row r="485" ht="15.75" customHeight="1">
      <c r="C485" s="45"/>
      <c r="G485" s="44"/>
      <c r="H485" s="45"/>
    </row>
    <row r="486" ht="15.75" customHeight="1">
      <c r="C486" s="45"/>
      <c r="G486" s="44"/>
      <c r="H486" s="45"/>
    </row>
    <row r="487" ht="15.75" customHeight="1">
      <c r="C487" s="45"/>
      <c r="G487" s="44"/>
      <c r="H487" s="45"/>
    </row>
    <row r="488" ht="15.75" customHeight="1">
      <c r="C488" s="45"/>
      <c r="G488" s="44"/>
      <c r="H488" s="45"/>
    </row>
    <row r="489" ht="15.75" customHeight="1">
      <c r="C489" s="45"/>
      <c r="G489" s="44"/>
      <c r="H489" s="45"/>
    </row>
    <row r="490" ht="15.75" customHeight="1">
      <c r="C490" s="45"/>
      <c r="G490" s="44"/>
      <c r="H490" s="45"/>
    </row>
    <row r="491" ht="15.75" customHeight="1">
      <c r="C491" s="45"/>
      <c r="G491" s="44"/>
      <c r="H491" s="45"/>
    </row>
    <row r="492" ht="15.75" customHeight="1">
      <c r="C492" s="45"/>
      <c r="G492" s="44"/>
      <c r="H492" s="45"/>
    </row>
    <row r="493" ht="15.75" customHeight="1">
      <c r="C493" s="45"/>
      <c r="G493" s="44"/>
      <c r="H493" s="45"/>
    </row>
    <row r="494" ht="15.75" customHeight="1">
      <c r="C494" s="45"/>
      <c r="G494" s="44"/>
      <c r="H494" s="45"/>
    </row>
    <row r="495" ht="15.75" customHeight="1">
      <c r="C495" s="45"/>
      <c r="G495" s="44"/>
      <c r="H495" s="45"/>
    </row>
    <row r="496" ht="15.75" customHeight="1">
      <c r="C496" s="45"/>
      <c r="G496" s="44"/>
      <c r="H496" s="45"/>
    </row>
    <row r="497" ht="15.75" customHeight="1">
      <c r="C497" s="45"/>
      <c r="G497" s="44"/>
      <c r="H497" s="45"/>
    </row>
    <row r="498" ht="15.75" customHeight="1">
      <c r="C498" s="45"/>
      <c r="G498" s="44"/>
      <c r="H498" s="45"/>
    </row>
    <row r="499" ht="15.75" customHeight="1">
      <c r="C499" s="45"/>
      <c r="G499" s="44"/>
      <c r="H499" s="45"/>
    </row>
    <row r="500" ht="15.75" customHeight="1">
      <c r="C500" s="45"/>
      <c r="G500" s="44"/>
      <c r="H500" s="45"/>
    </row>
    <row r="501" ht="15.75" customHeight="1">
      <c r="C501" s="45"/>
      <c r="G501" s="44"/>
      <c r="H501" s="45"/>
    </row>
    <row r="502" ht="15.75" customHeight="1">
      <c r="C502" s="45"/>
      <c r="G502" s="44"/>
      <c r="H502" s="45"/>
    </row>
    <row r="503" ht="15.75" customHeight="1">
      <c r="C503" s="45"/>
      <c r="G503" s="44"/>
      <c r="H503" s="45"/>
    </row>
    <row r="504" ht="15.75" customHeight="1">
      <c r="C504" s="45"/>
      <c r="G504" s="44"/>
      <c r="H504" s="45"/>
    </row>
    <row r="505" ht="15.75" customHeight="1">
      <c r="C505" s="45"/>
      <c r="G505" s="44"/>
      <c r="H505" s="45"/>
    </row>
    <row r="506" ht="15.75" customHeight="1">
      <c r="C506" s="45"/>
      <c r="G506" s="44"/>
      <c r="H506" s="45"/>
    </row>
    <row r="507" ht="15.75" customHeight="1">
      <c r="C507" s="45"/>
      <c r="G507" s="44"/>
      <c r="H507" s="45"/>
    </row>
    <row r="508" ht="15.75" customHeight="1">
      <c r="C508" s="45"/>
      <c r="G508" s="44"/>
      <c r="H508" s="45"/>
    </row>
    <row r="509" ht="15.75" customHeight="1">
      <c r="C509" s="45"/>
      <c r="G509" s="44"/>
      <c r="H509" s="45"/>
    </row>
    <row r="510" ht="15.75" customHeight="1">
      <c r="C510" s="45"/>
      <c r="G510" s="44"/>
      <c r="H510" s="45"/>
    </row>
    <row r="511" ht="15.75" customHeight="1">
      <c r="C511" s="45"/>
      <c r="G511" s="44"/>
      <c r="H511" s="45"/>
    </row>
    <row r="512" ht="15.75" customHeight="1">
      <c r="C512" s="45"/>
      <c r="G512" s="44"/>
      <c r="H512" s="45"/>
    </row>
    <row r="513" ht="15.75" customHeight="1">
      <c r="C513" s="45"/>
      <c r="G513" s="44"/>
      <c r="H513" s="45"/>
    </row>
    <row r="514" ht="15.75" customHeight="1">
      <c r="C514" s="45"/>
      <c r="G514" s="44"/>
      <c r="H514" s="45"/>
    </row>
    <row r="515" ht="15.75" customHeight="1">
      <c r="C515" s="45"/>
      <c r="G515" s="44"/>
      <c r="H515" s="45"/>
    </row>
    <row r="516" ht="15.75" customHeight="1">
      <c r="C516" s="45"/>
      <c r="G516" s="44"/>
      <c r="H516" s="45"/>
    </row>
    <row r="517" ht="15.75" customHeight="1">
      <c r="C517" s="45"/>
      <c r="G517" s="44"/>
      <c r="H517" s="45"/>
    </row>
    <row r="518" ht="15.75" customHeight="1">
      <c r="C518" s="45"/>
      <c r="G518" s="44"/>
      <c r="H518" s="45"/>
    </row>
    <row r="519" ht="15.75" customHeight="1">
      <c r="C519" s="45"/>
      <c r="G519" s="44"/>
      <c r="H519" s="45"/>
    </row>
    <row r="520" ht="15.75" customHeight="1">
      <c r="C520" s="45"/>
      <c r="G520" s="44"/>
      <c r="H520" s="45"/>
    </row>
    <row r="521" ht="15.75" customHeight="1">
      <c r="C521" s="45"/>
      <c r="G521" s="44"/>
      <c r="H521" s="45"/>
    </row>
    <row r="522" ht="15.75" customHeight="1">
      <c r="C522" s="45"/>
      <c r="G522" s="44"/>
      <c r="H522" s="45"/>
    </row>
    <row r="523" ht="15.75" customHeight="1">
      <c r="C523" s="45"/>
      <c r="G523" s="44"/>
      <c r="H523" s="45"/>
    </row>
    <row r="524" ht="15.75" customHeight="1">
      <c r="C524" s="45"/>
      <c r="G524" s="44"/>
      <c r="H524" s="45"/>
    </row>
    <row r="525" ht="15.75" customHeight="1">
      <c r="C525" s="45"/>
      <c r="G525" s="44"/>
      <c r="H525" s="45"/>
    </row>
    <row r="526" ht="15.75" customHeight="1">
      <c r="C526" s="45"/>
      <c r="G526" s="44"/>
      <c r="H526" s="45"/>
    </row>
    <row r="527" ht="15.75" customHeight="1">
      <c r="C527" s="45"/>
      <c r="G527" s="44"/>
      <c r="H527" s="45"/>
    </row>
    <row r="528" ht="15.75" customHeight="1">
      <c r="C528" s="45"/>
      <c r="G528" s="44"/>
      <c r="H528" s="45"/>
    </row>
    <row r="529" ht="15.75" customHeight="1">
      <c r="C529" s="45"/>
      <c r="G529" s="44"/>
      <c r="H529" s="45"/>
    </row>
    <row r="530" ht="15.75" customHeight="1">
      <c r="C530" s="45"/>
      <c r="G530" s="44"/>
      <c r="H530" s="45"/>
    </row>
    <row r="531" ht="15.75" customHeight="1">
      <c r="C531" s="45"/>
      <c r="G531" s="44"/>
      <c r="H531" s="45"/>
    </row>
    <row r="532" ht="15.75" customHeight="1">
      <c r="C532" s="45"/>
      <c r="G532" s="44"/>
      <c r="H532" s="45"/>
    </row>
    <row r="533" ht="15.75" customHeight="1">
      <c r="C533" s="45"/>
      <c r="G533" s="44"/>
      <c r="H533" s="45"/>
    </row>
    <row r="534" ht="15.75" customHeight="1">
      <c r="C534" s="45"/>
      <c r="G534" s="44"/>
      <c r="H534" s="45"/>
    </row>
    <row r="535" ht="15.75" customHeight="1">
      <c r="C535" s="45"/>
      <c r="G535" s="44"/>
      <c r="H535" s="45"/>
    </row>
    <row r="536" ht="15.75" customHeight="1">
      <c r="C536" s="45"/>
      <c r="G536" s="44"/>
      <c r="H536" s="45"/>
    </row>
    <row r="537" ht="15.75" customHeight="1">
      <c r="C537" s="45"/>
      <c r="G537" s="44"/>
      <c r="H537" s="45"/>
    </row>
    <row r="538" ht="15.75" customHeight="1">
      <c r="C538" s="45"/>
      <c r="G538" s="44"/>
      <c r="H538" s="45"/>
    </row>
    <row r="539" ht="15.75" customHeight="1">
      <c r="C539" s="45"/>
      <c r="G539" s="44"/>
      <c r="H539" s="45"/>
    </row>
    <row r="540" ht="15.75" customHeight="1">
      <c r="C540" s="45"/>
      <c r="G540" s="44"/>
      <c r="H540" s="45"/>
    </row>
    <row r="541" ht="15.75" customHeight="1">
      <c r="C541" s="45"/>
      <c r="G541" s="44"/>
      <c r="H541" s="45"/>
    </row>
    <row r="542" ht="15.75" customHeight="1">
      <c r="C542" s="45"/>
      <c r="G542" s="44"/>
      <c r="H542" s="45"/>
    </row>
    <row r="543" ht="15.75" customHeight="1">
      <c r="C543" s="45"/>
      <c r="G543" s="44"/>
      <c r="H543" s="45"/>
    </row>
    <row r="544" ht="15.75" customHeight="1">
      <c r="C544" s="45"/>
      <c r="G544" s="44"/>
      <c r="H544" s="45"/>
    </row>
    <row r="545" ht="15.75" customHeight="1">
      <c r="C545" s="45"/>
      <c r="G545" s="44"/>
      <c r="H545" s="45"/>
    </row>
    <row r="546" ht="15.75" customHeight="1">
      <c r="C546" s="45"/>
      <c r="G546" s="44"/>
      <c r="H546" s="45"/>
    </row>
    <row r="547" ht="15.75" customHeight="1">
      <c r="C547" s="45"/>
      <c r="G547" s="44"/>
      <c r="H547" s="45"/>
    </row>
    <row r="548" ht="15.75" customHeight="1">
      <c r="C548" s="45"/>
      <c r="G548" s="44"/>
      <c r="H548" s="45"/>
    </row>
    <row r="549" ht="15.75" customHeight="1">
      <c r="C549" s="45"/>
      <c r="G549" s="44"/>
      <c r="H549" s="45"/>
    </row>
    <row r="550" ht="15.75" customHeight="1">
      <c r="C550" s="45"/>
      <c r="G550" s="44"/>
      <c r="H550" s="45"/>
    </row>
    <row r="551" ht="15.75" customHeight="1">
      <c r="C551" s="45"/>
      <c r="G551" s="44"/>
      <c r="H551" s="45"/>
    </row>
    <row r="552" ht="15.75" customHeight="1">
      <c r="C552" s="45"/>
      <c r="G552" s="44"/>
      <c r="H552" s="45"/>
    </row>
    <row r="553" ht="15.75" customHeight="1">
      <c r="C553" s="45"/>
      <c r="G553" s="44"/>
      <c r="H553" s="45"/>
    </row>
    <row r="554" ht="15.75" customHeight="1">
      <c r="C554" s="45"/>
      <c r="G554" s="44"/>
      <c r="H554" s="45"/>
    </row>
    <row r="555" ht="15.75" customHeight="1">
      <c r="C555" s="45"/>
      <c r="G555" s="44"/>
      <c r="H555" s="45"/>
    </row>
    <row r="556" ht="15.75" customHeight="1">
      <c r="C556" s="45"/>
      <c r="G556" s="44"/>
      <c r="H556" s="45"/>
    </row>
    <row r="557" ht="15.75" customHeight="1">
      <c r="C557" s="45"/>
      <c r="G557" s="44"/>
      <c r="H557" s="45"/>
    </row>
    <row r="558" ht="15.75" customHeight="1">
      <c r="C558" s="45"/>
      <c r="G558" s="44"/>
      <c r="H558" s="45"/>
    </row>
    <row r="559" ht="15.75" customHeight="1">
      <c r="C559" s="45"/>
      <c r="G559" s="44"/>
      <c r="H559" s="45"/>
    </row>
    <row r="560" ht="15.75" customHeight="1">
      <c r="C560" s="45"/>
      <c r="G560" s="44"/>
      <c r="H560" s="45"/>
    </row>
    <row r="561" ht="15.75" customHeight="1">
      <c r="C561" s="45"/>
      <c r="G561" s="44"/>
      <c r="H561" s="45"/>
    </row>
    <row r="562" ht="15.75" customHeight="1">
      <c r="C562" s="45"/>
      <c r="G562" s="44"/>
      <c r="H562" s="45"/>
    </row>
    <row r="563" ht="15.75" customHeight="1">
      <c r="C563" s="45"/>
      <c r="G563" s="44"/>
      <c r="H563" s="45"/>
    </row>
    <row r="564" ht="15.75" customHeight="1">
      <c r="C564" s="45"/>
      <c r="G564" s="44"/>
      <c r="H564" s="45"/>
    </row>
    <row r="565" ht="15.75" customHeight="1">
      <c r="C565" s="45"/>
      <c r="G565" s="44"/>
      <c r="H565" s="45"/>
    </row>
    <row r="566" ht="15.75" customHeight="1">
      <c r="C566" s="45"/>
      <c r="G566" s="44"/>
      <c r="H566" s="45"/>
    </row>
    <row r="567" ht="15.75" customHeight="1">
      <c r="C567" s="45"/>
      <c r="G567" s="44"/>
      <c r="H567" s="45"/>
    </row>
    <row r="568" ht="15.75" customHeight="1">
      <c r="C568" s="45"/>
      <c r="G568" s="44"/>
      <c r="H568" s="45"/>
    </row>
    <row r="569" ht="15.75" customHeight="1">
      <c r="C569" s="45"/>
      <c r="G569" s="44"/>
      <c r="H569" s="45"/>
    </row>
    <row r="570" ht="15.75" customHeight="1">
      <c r="C570" s="45"/>
      <c r="G570" s="44"/>
      <c r="H570" s="45"/>
    </row>
    <row r="571" ht="15.75" customHeight="1">
      <c r="C571" s="45"/>
      <c r="G571" s="44"/>
      <c r="H571" s="45"/>
    </row>
    <row r="572" ht="15.75" customHeight="1">
      <c r="C572" s="45"/>
      <c r="G572" s="44"/>
      <c r="H572" s="45"/>
    </row>
    <row r="573" ht="15.75" customHeight="1">
      <c r="C573" s="45"/>
      <c r="G573" s="44"/>
      <c r="H573" s="45"/>
    </row>
    <row r="574" ht="15.75" customHeight="1">
      <c r="C574" s="45"/>
      <c r="G574" s="44"/>
      <c r="H574" s="45"/>
    </row>
    <row r="575" ht="15.75" customHeight="1">
      <c r="C575" s="45"/>
      <c r="G575" s="44"/>
      <c r="H575" s="45"/>
    </row>
    <row r="576" ht="15.75" customHeight="1">
      <c r="C576" s="45"/>
      <c r="G576" s="44"/>
      <c r="H576" s="45"/>
    </row>
    <row r="577" ht="15.75" customHeight="1">
      <c r="C577" s="45"/>
      <c r="G577" s="44"/>
      <c r="H577" s="45"/>
    </row>
    <row r="578" ht="15.75" customHeight="1">
      <c r="C578" s="45"/>
      <c r="G578" s="44"/>
      <c r="H578" s="45"/>
    </row>
    <row r="579" ht="15.75" customHeight="1">
      <c r="C579" s="45"/>
      <c r="G579" s="44"/>
      <c r="H579" s="45"/>
    </row>
    <row r="580" ht="15.75" customHeight="1">
      <c r="C580" s="45"/>
      <c r="G580" s="44"/>
      <c r="H580" s="45"/>
    </row>
    <row r="581" ht="15.75" customHeight="1">
      <c r="C581" s="45"/>
      <c r="G581" s="44"/>
      <c r="H581" s="45"/>
    </row>
    <row r="582" ht="15.75" customHeight="1">
      <c r="C582" s="45"/>
      <c r="G582" s="44"/>
      <c r="H582" s="45"/>
    </row>
    <row r="583" ht="15.75" customHeight="1">
      <c r="C583" s="45"/>
      <c r="G583" s="44"/>
      <c r="H583" s="45"/>
    </row>
    <row r="584" ht="15.75" customHeight="1">
      <c r="C584" s="45"/>
      <c r="G584" s="44"/>
      <c r="H584" s="45"/>
    </row>
    <row r="585" ht="15.75" customHeight="1">
      <c r="C585" s="45"/>
      <c r="G585" s="44"/>
      <c r="H585" s="45"/>
    </row>
    <row r="586" ht="15.75" customHeight="1">
      <c r="C586" s="45"/>
      <c r="G586" s="44"/>
      <c r="H586" s="45"/>
    </row>
    <row r="587" ht="15.75" customHeight="1">
      <c r="C587" s="45"/>
      <c r="G587" s="44"/>
      <c r="H587" s="45"/>
    </row>
    <row r="588" ht="15.75" customHeight="1">
      <c r="C588" s="45"/>
      <c r="G588" s="44"/>
      <c r="H588" s="45"/>
    </row>
    <row r="589" ht="15.75" customHeight="1">
      <c r="C589" s="45"/>
      <c r="G589" s="44"/>
      <c r="H589" s="45"/>
    </row>
    <row r="590" ht="15.75" customHeight="1">
      <c r="C590" s="45"/>
      <c r="G590" s="44"/>
      <c r="H590" s="45"/>
    </row>
    <row r="591" ht="15.75" customHeight="1">
      <c r="C591" s="45"/>
      <c r="G591" s="44"/>
      <c r="H591" s="45"/>
    </row>
    <row r="592" ht="15.75" customHeight="1">
      <c r="C592" s="45"/>
      <c r="G592" s="44"/>
      <c r="H592" s="45"/>
    </row>
    <row r="593" ht="15.75" customHeight="1">
      <c r="C593" s="45"/>
      <c r="G593" s="44"/>
      <c r="H593" s="45"/>
    </row>
    <row r="594" ht="15.75" customHeight="1">
      <c r="C594" s="45"/>
      <c r="G594" s="44"/>
      <c r="H594" s="45"/>
    </row>
    <row r="595" ht="15.75" customHeight="1">
      <c r="C595" s="45"/>
      <c r="G595" s="44"/>
      <c r="H595" s="45"/>
    </row>
    <row r="596" ht="15.75" customHeight="1">
      <c r="C596" s="45"/>
      <c r="G596" s="44"/>
      <c r="H596" s="45"/>
    </row>
    <row r="597" ht="15.75" customHeight="1">
      <c r="C597" s="45"/>
      <c r="G597" s="44"/>
      <c r="H597" s="45"/>
    </row>
    <row r="598" ht="15.75" customHeight="1">
      <c r="C598" s="45"/>
      <c r="G598" s="44"/>
      <c r="H598" s="45"/>
    </row>
    <row r="599" ht="15.75" customHeight="1">
      <c r="C599" s="45"/>
      <c r="G599" s="44"/>
      <c r="H599" s="45"/>
    </row>
    <row r="600" ht="15.75" customHeight="1">
      <c r="C600" s="45"/>
      <c r="G600" s="44"/>
      <c r="H600" s="45"/>
    </row>
    <row r="601" ht="15.75" customHeight="1">
      <c r="C601" s="45"/>
      <c r="G601" s="44"/>
      <c r="H601" s="45"/>
    </row>
    <row r="602" ht="15.75" customHeight="1">
      <c r="C602" s="45"/>
      <c r="G602" s="44"/>
      <c r="H602" s="45"/>
    </row>
    <row r="603" ht="15.75" customHeight="1">
      <c r="C603" s="45"/>
      <c r="G603" s="44"/>
      <c r="H603" s="45"/>
    </row>
    <row r="604" ht="15.75" customHeight="1">
      <c r="C604" s="45"/>
      <c r="G604" s="44"/>
      <c r="H604" s="45"/>
    </row>
    <row r="605" ht="15.75" customHeight="1">
      <c r="C605" s="45"/>
      <c r="G605" s="44"/>
      <c r="H605" s="45"/>
    </row>
    <row r="606" ht="15.75" customHeight="1">
      <c r="C606" s="45"/>
      <c r="G606" s="44"/>
      <c r="H606" s="45"/>
    </row>
    <row r="607" ht="15.75" customHeight="1">
      <c r="C607" s="45"/>
      <c r="G607" s="44"/>
      <c r="H607" s="45"/>
    </row>
    <row r="608" ht="15.75" customHeight="1">
      <c r="C608" s="45"/>
      <c r="G608" s="44"/>
      <c r="H608" s="45"/>
    </row>
    <row r="609" ht="15.75" customHeight="1">
      <c r="C609" s="45"/>
      <c r="G609" s="44"/>
      <c r="H609" s="45"/>
    </row>
    <row r="610" ht="15.75" customHeight="1">
      <c r="C610" s="45"/>
      <c r="G610" s="44"/>
      <c r="H610" s="45"/>
    </row>
    <row r="611" ht="15.75" customHeight="1">
      <c r="C611" s="45"/>
      <c r="G611" s="44"/>
      <c r="H611" s="45"/>
    </row>
    <row r="612" ht="15.75" customHeight="1">
      <c r="C612" s="45"/>
      <c r="G612" s="44"/>
      <c r="H612" s="45"/>
    </row>
    <row r="613" ht="15.75" customHeight="1">
      <c r="C613" s="45"/>
      <c r="G613" s="44"/>
      <c r="H613" s="45"/>
    </row>
    <row r="614" ht="15.75" customHeight="1">
      <c r="C614" s="45"/>
      <c r="G614" s="44"/>
      <c r="H614" s="45"/>
    </row>
    <row r="615" ht="15.75" customHeight="1">
      <c r="C615" s="45"/>
      <c r="G615" s="44"/>
      <c r="H615" s="45"/>
    </row>
    <row r="616" ht="15.75" customHeight="1">
      <c r="C616" s="45"/>
      <c r="G616" s="44"/>
      <c r="H616" s="45"/>
    </row>
    <row r="617" ht="15.75" customHeight="1">
      <c r="C617" s="45"/>
      <c r="G617" s="44"/>
      <c r="H617" s="45"/>
    </row>
    <row r="618" ht="15.75" customHeight="1">
      <c r="C618" s="45"/>
      <c r="G618" s="44"/>
      <c r="H618" s="45"/>
    </row>
    <row r="619" ht="15.75" customHeight="1">
      <c r="C619" s="45"/>
      <c r="G619" s="44"/>
      <c r="H619" s="45"/>
    </row>
    <row r="620" ht="15.75" customHeight="1">
      <c r="C620" s="45"/>
      <c r="G620" s="44"/>
      <c r="H620" s="45"/>
    </row>
    <row r="621" ht="15.75" customHeight="1">
      <c r="C621" s="45"/>
      <c r="G621" s="44"/>
      <c r="H621" s="45"/>
    </row>
    <row r="622" ht="15.75" customHeight="1">
      <c r="C622" s="45"/>
      <c r="G622" s="44"/>
      <c r="H622" s="45"/>
    </row>
    <row r="623" ht="15.75" customHeight="1">
      <c r="C623" s="45"/>
      <c r="G623" s="44"/>
      <c r="H623" s="45"/>
    </row>
    <row r="624" ht="15.75" customHeight="1">
      <c r="C624" s="45"/>
      <c r="G624" s="44"/>
      <c r="H624" s="45"/>
    </row>
    <row r="625" ht="15.75" customHeight="1">
      <c r="C625" s="45"/>
      <c r="G625" s="44"/>
      <c r="H625" s="45"/>
    </row>
    <row r="626" ht="15.75" customHeight="1">
      <c r="C626" s="45"/>
      <c r="G626" s="44"/>
      <c r="H626" s="45"/>
    </row>
    <row r="627" ht="15.75" customHeight="1">
      <c r="C627" s="45"/>
      <c r="G627" s="44"/>
      <c r="H627" s="45"/>
    </row>
    <row r="628" ht="15.75" customHeight="1">
      <c r="C628" s="45"/>
      <c r="G628" s="44"/>
      <c r="H628" s="45"/>
    </row>
    <row r="629" ht="15.75" customHeight="1">
      <c r="C629" s="45"/>
      <c r="G629" s="44"/>
      <c r="H629" s="45"/>
    </row>
    <row r="630" ht="15.75" customHeight="1">
      <c r="C630" s="45"/>
      <c r="G630" s="44"/>
      <c r="H630" s="45"/>
    </row>
    <row r="631" ht="15.75" customHeight="1">
      <c r="C631" s="45"/>
      <c r="G631" s="44"/>
      <c r="H631" s="45"/>
    </row>
    <row r="632" ht="15.75" customHeight="1">
      <c r="C632" s="45"/>
      <c r="G632" s="44"/>
      <c r="H632" s="45"/>
    </row>
    <row r="633" ht="15.75" customHeight="1">
      <c r="C633" s="45"/>
      <c r="G633" s="44"/>
      <c r="H633" s="45"/>
    </row>
    <row r="634" ht="15.75" customHeight="1">
      <c r="C634" s="45"/>
      <c r="G634" s="44"/>
      <c r="H634" s="45"/>
    </row>
    <row r="635" ht="15.75" customHeight="1">
      <c r="C635" s="45"/>
      <c r="G635" s="44"/>
      <c r="H635" s="45"/>
    </row>
    <row r="636" ht="15.75" customHeight="1">
      <c r="C636" s="45"/>
      <c r="G636" s="44"/>
      <c r="H636" s="45"/>
    </row>
    <row r="637" ht="15.75" customHeight="1">
      <c r="C637" s="45"/>
      <c r="G637" s="44"/>
      <c r="H637" s="45"/>
    </row>
    <row r="638" ht="15.75" customHeight="1">
      <c r="C638" s="45"/>
      <c r="G638" s="44"/>
      <c r="H638" s="45"/>
    </row>
    <row r="639" ht="15.75" customHeight="1">
      <c r="C639" s="45"/>
      <c r="G639" s="44"/>
      <c r="H639" s="45"/>
    </row>
    <row r="640" ht="15.75" customHeight="1">
      <c r="C640" s="45"/>
      <c r="G640" s="44"/>
      <c r="H640" s="45"/>
    </row>
    <row r="641" ht="15.75" customHeight="1">
      <c r="C641" s="45"/>
      <c r="G641" s="44"/>
      <c r="H641" s="45"/>
    </row>
    <row r="642" ht="15.75" customHeight="1">
      <c r="C642" s="45"/>
      <c r="G642" s="44"/>
      <c r="H642" s="45"/>
    </row>
    <row r="643" ht="15.75" customHeight="1">
      <c r="C643" s="45"/>
      <c r="G643" s="44"/>
      <c r="H643" s="45"/>
    </row>
    <row r="644" ht="15.75" customHeight="1">
      <c r="C644" s="45"/>
      <c r="G644" s="44"/>
      <c r="H644" s="45"/>
    </row>
    <row r="645" ht="15.75" customHeight="1">
      <c r="C645" s="45"/>
      <c r="G645" s="44"/>
      <c r="H645" s="45"/>
    </row>
    <row r="646" ht="15.75" customHeight="1">
      <c r="C646" s="45"/>
      <c r="G646" s="44"/>
      <c r="H646" s="45"/>
    </row>
    <row r="647" ht="15.75" customHeight="1">
      <c r="C647" s="45"/>
      <c r="G647" s="44"/>
      <c r="H647" s="45"/>
    </row>
    <row r="648" ht="15.75" customHeight="1">
      <c r="C648" s="45"/>
      <c r="G648" s="44"/>
      <c r="H648" s="45"/>
    </row>
    <row r="649" ht="15.75" customHeight="1">
      <c r="C649" s="45"/>
      <c r="G649" s="44"/>
      <c r="H649" s="45"/>
    </row>
    <row r="650" ht="15.75" customHeight="1">
      <c r="C650" s="45"/>
      <c r="G650" s="44"/>
      <c r="H650" s="45"/>
    </row>
    <row r="651" ht="15.75" customHeight="1">
      <c r="C651" s="45"/>
      <c r="G651" s="44"/>
      <c r="H651" s="45"/>
    </row>
    <row r="652" ht="15.75" customHeight="1">
      <c r="C652" s="45"/>
      <c r="G652" s="44"/>
      <c r="H652" s="45"/>
    </row>
    <row r="653" ht="15.75" customHeight="1">
      <c r="C653" s="45"/>
      <c r="G653" s="44"/>
      <c r="H653" s="45"/>
    </row>
    <row r="654" ht="15.75" customHeight="1">
      <c r="C654" s="45"/>
      <c r="G654" s="44"/>
      <c r="H654" s="45"/>
    </row>
    <row r="655" ht="15.75" customHeight="1">
      <c r="C655" s="45"/>
      <c r="G655" s="44"/>
      <c r="H655" s="45"/>
    </row>
    <row r="656" ht="15.75" customHeight="1">
      <c r="C656" s="45"/>
      <c r="G656" s="44"/>
      <c r="H656" s="45"/>
    </row>
    <row r="657" ht="15.75" customHeight="1">
      <c r="C657" s="45"/>
      <c r="G657" s="44"/>
      <c r="H657" s="45"/>
    </row>
    <row r="658" ht="15.75" customHeight="1">
      <c r="C658" s="45"/>
      <c r="G658" s="44"/>
      <c r="H658" s="45"/>
    </row>
    <row r="659" ht="15.75" customHeight="1">
      <c r="C659" s="45"/>
      <c r="G659" s="44"/>
      <c r="H659" s="45"/>
    </row>
    <row r="660" ht="15.75" customHeight="1">
      <c r="C660" s="45"/>
      <c r="G660" s="44"/>
      <c r="H660" s="45"/>
    </row>
    <row r="661" ht="15.75" customHeight="1">
      <c r="C661" s="45"/>
      <c r="G661" s="44"/>
      <c r="H661" s="45"/>
    </row>
    <row r="662" ht="15.75" customHeight="1">
      <c r="C662" s="45"/>
      <c r="G662" s="44"/>
      <c r="H662" s="45"/>
    </row>
    <row r="663" ht="15.75" customHeight="1">
      <c r="C663" s="45"/>
      <c r="G663" s="44"/>
      <c r="H663" s="45"/>
    </row>
    <row r="664" ht="15.75" customHeight="1">
      <c r="C664" s="45"/>
      <c r="G664" s="44"/>
      <c r="H664" s="45"/>
    </row>
    <row r="665" ht="15.75" customHeight="1">
      <c r="C665" s="45"/>
      <c r="G665" s="44"/>
      <c r="H665" s="45"/>
    </row>
    <row r="666" ht="15.75" customHeight="1">
      <c r="C666" s="45"/>
      <c r="G666" s="44"/>
      <c r="H666" s="45"/>
    </row>
    <row r="667" ht="15.75" customHeight="1">
      <c r="C667" s="45"/>
      <c r="G667" s="44"/>
      <c r="H667" s="45"/>
    </row>
    <row r="668" ht="15.75" customHeight="1">
      <c r="C668" s="45"/>
      <c r="G668" s="44"/>
      <c r="H668" s="45"/>
    </row>
    <row r="669" ht="15.75" customHeight="1">
      <c r="C669" s="45"/>
      <c r="G669" s="44"/>
      <c r="H669" s="45"/>
    </row>
    <row r="670" ht="15.75" customHeight="1">
      <c r="C670" s="45"/>
      <c r="G670" s="44"/>
      <c r="H670" s="45"/>
    </row>
    <row r="671" ht="15.75" customHeight="1">
      <c r="C671" s="45"/>
      <c r="G671" s="44"/>
      <c r="H671" s="45"/>
    </row>
    <row r="672" ht="15.75" customHeight="1">
      <c r="C672" s="45"/>
      <c r="G672" s="44"/>
      <c r="H672" s="45"/>
    </row>
    <row r="673" ht="15.75" customHeight="1">
      <c r="C673" s="45"/>
      <c r="G673" s="44"/>
      <c r="H673" s="45"/>
    </row>
    <row r="674" ht="15.75" customHeight="1">
      <c r="C674" s="45"/>
      <c r="G674" s="44"/>
      <c r="H674" s="45"/>
    </row>
    <row r="675" ht="15.75" customHeight="1">
      <c r="C675" s="45"/>
      <c r="G675" s="44"/>
      <c r="H675" s="45"/>
    </row>
    <row r="676" ht="15.75" customHeight="1">
      <c r="C676" s="45"/>
      <c r="G676" s="44"/>
      <c r="H676" s="45"/>
    </row>
    <row r="677" ht="15.75" customHeight="1">
      <c r="C677" s="45"/>
      <c r="G677" s="44"/>
      <c r="H677" s="45"/>
    </row>
    <row r="678" ht="15.75" customHeight="1">
      <c r="C678" s="45"/>
      <c r="G678" s="44"/>
      <c r="H678" s="45"/>
    </row>
    <row r="679" ht="15.75" customHeight="1">
      <c r="C679" s="45"/>
      <c r="G679" s="44"/>
      <c r="H679" s="45"/>
    </row>
    <row r="680" ht="15.75" customHeight="1">
      <c r="C680" s="45"/>
      <c r="G680" s="44"/>
      <c r="H680" s="45"/>
    </row>
    <row r="681" ht="15.75" customHeight="1">
      <c r="C681" s="45"/>
      <c r="G681" s="44"/>
      <c r="H681" s="45"/>
    </row>
    <row r="682" ht="15.75" customHeight="1">
      <c r="C682" s="45"/>
      <c r="G682" s="44"/>
      <c r="H682" s="45"/>
    </row>
    <row r="683" ht="15.75" customHeight="1">
      <c r="C683" s="45"/>
      <c r="G683" s="44"/>
      <c r="H683" s="45"/>
    </row>
    <row r="684" ht="15.75" customHeight="1">
      <c r="C684" s="45"/>
      <c r="G684" s="44"/>
      <c r="H684" s="45"/>
    </row>
    <row r="685" ht="15.75" customHeight="1">
      <c r="C685" s="45"/>
      <c r="G685" s="44"/>
      <c r="H685" s="45"/>
    </row>
    <row r="686" ht="15.75" customHeight="1">
      <c r="C686" s="45"/>
      <c r="G686" s="44"/>
      <c r="H686" s="45"/>
    </row>
    <row r="687" ht="15.75" customHeight="1">
      <c r="C687" s="45"/>
      <c r="G687" s="44"/>
      <c r="H687" s="45"/>
    </row>
    <row r="688" ht="15.75" customHeight="1">
      <c r="C688" s="45"/>
      <c r="G688" s="44"/>
      <c r="H688" s="45"/>
    </row>
    <row r="689" ht="15.75" customHeight="1">
      <c r="C689" s="45"/>
      <c r="G689" s="44"/>
      <c r="H689" s="45"/>
    </row>
    <row r="690" ht="15.75" customHeight="1">
      <c r="C690" s="45"/>
      <c r="G690" s="44"/>
      <c r="H690" s="45"/>
    </row>
    <row r="691" ht="15.75" customHeight="1">
      <c r="C691" s="45"/>
      <c r="G691" s="44"/>
      <c r="H691" s="45"/>
    </row>
    <row r="692" ht="15.75" customHeight="1">
      <c r="C692" s="45"/>
      <c r="G692" s="44"/>
      <c r="H692" s="45"/>
    </row>
    <row r="693" ht="15.75" customHeight="1">
      <c r="C693" s="45"/>
      <c r="G693" s="44"/>
      <c r="H693" s="45"/>
    </row>
    <row r="694" ht="15.75" customHeight="1">
      <c r="C694" s="45"/>
      <c r="G694" s="44"/>
      <c r="H694" s="45"/>
    </row>
    <row r="695" ht="15.75" customHeight="1">
      <c r="C695" s="45"/>
      <c r="G695" s="44"/>
      <c r="H695" s="45"/>
    </row>
    <row r="696" ht="15.75" customHeight="1">
      <c r="C696" s="45"/>
      <c r="G696" s="44"/>
      <c r="H696" s="45"/>
    </row>
    <row r="697" ht="15.75" customHeight="1">
      <c r="C697" s="45"/>
      <c r="G697" s="44"/>
      <c r="H697" s="45"/>
    </row>
    <row r="698" ht="15.75" customHeight="1">
      <c r="C698" s="45"/>
      <c r="G698" s="44"/>
      <c r="H698" s="45"/>
    </row>
    <row r="699" ht="15.75" customHeight="1">
      <c r="C699" s="45"/>
      <c r="G699" s="44"/>
      <c r="H699" s="45"/>
    </row>
    <row r="700" ht="15.75" customHeight="1">
      <c r="C700" s="45"/>
      <c r="G700" s="44"/>
      <c r="H700" s="45"/>
    </row>
    <row r="701" ht="15.75" customHeight="1">
      <c r="C701" s="45"/>
      <c r="G701" s="44"/>
      <c r="H701" s="45"/>
    </row>
    <row r="702" ht="15.75" customHeight="1">
      <c r="C702" s="45"/>
      <c r="G702" s="44"/>
      <c r="H702" s="45"/>
    </row>
    <row r="703" ht="15.75" customHeight="1">
      <c r="C703" s="45"/>
      <c r="G703" s="44"/>
      <c r="H703" s="45"/>
    </row>
    <row r="704" ht="15.75" customHeight="1">
      <c r="C704" s="45"/>
      <c r="G704" s="44"/>
      <c r="H704" s="45"/>
    </row>
    <row r="705" ht="15.75" customHeight="1">
      <c r="C705" s="45"/>
      <c r="G705" s="44"/>
      <c r="H705" s="45"/>
    </row>
    <row r="706" ht="15.75" customHeight="1">
      <c r="C706" s="45"/>
      <c r="G706" s="44"/>
      <c r="H706" s="45"/>
    </row>
    <row r="707" ht="15.75" customHeight="1">
      <c r="C707" s="45"/>
      <c r="G707" s="44"/>
      <c r="H707" s="45"/>
    </row>
    <row r="708" ht="15.75" customHeight="1">
      <c r="C708" s="45"/>
      <c r="G708" s="44"/>
      <c r="H708" s="45"/>
    </row>
    <row r="709" ht="15.75" customHeight="1">
      <c r="C709" s="45"/>
      <c r="G709" s="44"/>
      <c r="H709" s="45"/>
    </row>
    <row r="710" ht="15.75" customHeight="1">
      <c r="C710" s="45"/>
      <c r="G710" s="44"/>
      <c r="H710" s="45"/>
    </row>
    <row r="711" ht="15.75" customHeight="1">
      <c r="C711" s="45"/>
      <c r="G711" s="44"/>
      <c r="H711" s="45"/>
    </row>
    <row r="712" ht="15.75" customHeight="1">
      <c r="C712" s="45"/>
      <c r="G712" s="44"/>
      <c r="H712" s="45"/>
    </row>
    <row r="713" ht="15.75" customHeight="1">
      <c r="C713" s="45"/>
      <c r="G713" s="44"/>
      <c r="H713" s="45"/>
    </row>
    <row r="714" ht="15.75" customHeight="1">
      <c r="C714" s="45"/>
      <c r="G714" s="44"/>
      <c r="H714" s="45"/>
    </row>
    <row r="715" ht="15.75" customHeight="1">
      <c r="C715" s="45"/>
      <c r="G715" s="44"/>
      <c r="H715" s="45"/>
    </row>
    <row r="716" ht="15.75" customHeight="1">
      <c r="C716" s="45"/>
      <c r="G716" s="44"/>
      <c r="H716" s="45"/>
    </row>
    <row r="717" ht="15.75" customHeight="1">
      <c r="C717" s="45"/>
      <c r="G717" s="44"/>
      <c r="H717" s="45"/>
    </row>
    <row r="718" ht="15.75" customHeight="1">
      <c r="C718" s="45"/>
      <c r="G718" s="44"/>
      <c r="H718" s="45"/>
    </row>
    <row r="719" ht="15.75" customHeight="1">
      <c r="C719" s="45"/>
      <c r="G719" s="44"/>
      <c r="H719" s="45"/>
    </row>
    <row r="720" ht="15.75" customHeight="1">
      <c r="C720" s="45"/>
      <c r="G720" s="44"/>
      <c r="H720" s="45"/>
    </row>
    <row r="721" ht="15.75" customHeight="1">
      <c r="C721" s="45"/>
      <c r="G721" s="44"/>
      <c r="H721" s="45"/>
    </row>
    <row r="722" ht="15.75" customHeight="1">
      <c r="C722" s="45"/>
      <c r="G722" s="44"/>
      <c r="H722" s="45"/>
    </row>
    <row r="723" ht="15.75" customHeight="1">
      <c r="C723" s="45"/>
      <c r="G723" s="44"/>
      <c r="H723" s="45"/>
    </row>
    <row r="724" ht="15.75" customHeight="1">
      <c r="C724" s="45"/>
      <c r="G724" s="44"/>
      <c r="H724" s="45"/>
    </row>
    <row r="725" ht="15.75" customHeight="1">
      <c r="C725" s="45"/>
      <c r="G725" s="44"/>
      <c r="H725" s="45"/>
    </row>
    <row r="726" ht="15.75" customHeight="1">
      <c r="C726" s="45"/>
      <c r="G726" s="44"/>
      <c r="H726" s="45"/>
    </row>
    <row r="727" ht="15.75" customHeight="1">
      <c r="C727" s="45"/>
      <c r="G727" s="44"/>
      <c r="H727" s="45"/>
    </row>
    <row r="728" ht="15.75" customHeight="1">
      <c r="C728" s="45"/>
      <c r="G728" s="44"/>
      <c r="H728" s="45"/>
    </row>
    <row r="729" ht="15.75" customHeight="1">
      <c r="C729" s="45"/>
      <c r="G729" s="44"/>
      <c r="H729" s="45"/>
    </row>
    <row r="730" ht="15.75" customHeight="1">
      <c r="C730" s="45"/>
      <c r="G730" s="44"/>
      <c r="H730" s="45"/>
    </row>
    <row r="731" ht="15.75" customHeight="1">
      <c r="C731" s="45"/>
      <c r="G731" s="44"/>
      <c r="H731" s="45"/>
    </row>
    <row r="732" ht="15.75" customHeight="1">
      <c r="C732" s="45"/>
      <c r="G732" s="44"/>
      <c r="H732" s="45"/>
    </row>
    <row r="733" ht="15.75" customHeight="1">
      <c r="C733" s="45"/>
      <c r="G733" s="44"/>
      <c r="H733" s="45"/>
    </row>
    <row r="734" ht="15.75" customHeight="1">
      <c r="C734" s="45"/>
      <c r="G734" s="44"/>
      <c r="H734" s="45"/>
    </row>
    <row r="735" ht="15.75" customHeight="1">
      <c r="C735" s="45"/>
      <c r="G735" s="44"/>
      <c r="H735" s="45"/>
    </row>
    <row r="736" ht="15.75" customHeight="1">
      <c r="C736" s="45"/>
      <c r="G736" s="44"/>
      <c r="H736" s="45"/>
    </row>
    <row r="737" ht="15.75" customHeight="1">
      <c r="C737" s="45"/>
      <c r="G737" s="44"/>
      <c r="H737" s="45"/>
    </row>
    <row r="738" ht="15.75" customHeight="1">
      <c r="C738" s="45"/>
      <c r="G738" s="44"/>
      <c r="H738" s="45"/>
    </row>
    <row r="739" ht="15.75" customHeight="1">
      <c r="C739" s="45"/>
      <c r="G739" s="44"/>
      <c r="H739" s="45"/>
    </row>
    <row r="740" ht="15.75" customHeight="1">
      <c r="C740" s="45"/>
      <c r="G740" s="44"/>
      <c r="H740" s="45"/>
    </row>
    <row r="741" ht="15.75" customHeight="1">
      <c r="C741" s="45"/>
      <c r="G741" s="44"/>
      <c r="H741" s="45"/>
    </row>
    <row r="742" ht="15.75" customHeight="1">
      <c r="C742" s="45"/>
      <c r="G742" s="44"/>
      <c r="H742" s="45"/>
    </row>
    <row r="743" ht="15.75" customHeight="1">
      <c r="C743" s="45"/>
      <c r="G743" s="44"/>
      <c r="H743" s="45"/>
    </row>
    <row r="744" ht="15.75" customHeight="1">
      <c r="C744" s="45"/>
      <c r="G744" s="44"/>
      <c r="H744" s="45"/>
    </row>
    <row r="745" ht="15.75" customHeight="1">
      <c r="C745" s="45"/>
      <c r="G745" s="44"/>
      <c r="H745" s="45"/>
    </row>
    <row r="746" ht="15.75" customHeight="1">
      <c r="C746" s="45"/>
      <c r="G746" s="44"/>
      <c r="H746" s="45"/>
    </row>
    <row r="747" ht="15.75" customHeight="1">
      <c r="C747" s="45"/>
      <c r="G747" s="44"/>
      <c r="H747" s="45"/>
    </row>
    <row r="748" ht="15.75" customHeight="1">
      <c r="C748" s="45"/>
      <c r="G748" s="44"/>
      <c r="H748" s="45"/>
    </row>
    <row r="749" ht="15.75" customHeight="1">
      <c r="C749" s="45"/>
      <c r="G749" s="44"/>
      <c r="H749" s="45"/>
    </row>
    <row r="750" ht="15.75" customHeight="1">
      <c r="C750" s="45"/>
      <c r="G750" s="44"/>
      <c r="H750" s="45"/>
    </row>
    <row r="751" ht="15.75" customHeight="1">
      <c r="C751" s="45"/>
      <c r="G751" s="44"/>
      <c r="H751" s="45"/>
    </row>
    <row r="752" ht="15.75" customHeight="1">
      <c r="C752" s="45"/>
      <c r="G752" s="44"/>
      <c r="H752" s="45"/>
    </row>
    <row r="753" ht="15.75" customHeight="1">
      <c r="C753" s="45"/>
      <c r="G753" s="44"/>
      <c r="H753" s="45"/>
    </row>
    <row r="754" ht="15.75" customHeight="1">
      <c r="C754" s="45"/>
      <c r="G754" s="44"/>
      <c r="H754" s="45"/>
    </row>
    <row r="755" ht="15.75" customHeight="1">
      <c r="C755" s="45"/>
      <c r="G755" s="44"/>
      <c r="H755" s="45"/>
    </row>
    <row r="756" ht="15.75" customHeight="1">
      <c r="C756" s="45"/>
      <c r="G756" s="44"/>
      <c r="H756" s="45"/>
    </row>
    <row r="757" ht="15.75" customHeight="1">
      <c r="C757" s="45"/>
      <c r="G757" s="44"/>
      <c r="H757" s="45"/>
    </row>
    <row r="758" ht="15.75" customHeight="1">
      <c r="C758" s="45"/>
      <c r="G758" s="44"/>
      <c r="H758" s="45"/>
    </row>
    <row r="759" ht="15.75" customHeight="1">
      <c r="C759" s="45"/>
      <c r="G759" s="44"/>
      <c r="H759" s="45"/>
    </row>
    <row r="760" ht="15.75" customHeight="1">
      <c r="C760" s="45"/>
      <c r="G760" s="44"/>
      <c r="H760" s="45"/>
    </row>
    <row r="761" ht="15.75" customHeight="1">
      <c r="C761" s="45"/>
      <c r="G761" s="44"/>
      <c r="H761" s="45"/>
    </row>
    <row r="762" ht="15.75" customHeight="1">
      <c r="C762" s="45"/>
      <c r="G762" s="44"/>
      <c r="H762" s="45"/>
    </row>
    <row r="763" ht="15.75" customHeight="1">
      <c r="C763" s="45"/>
      <c r="G763" s="44"/>
      <c r="H763" s="45"/>
    </row>
    <row r="764" ht="15.75" customHeight="1">
      <c r="C764" s="45"/>
      <c r="G764" s="44"/>
      <c r="H764" s="45"/>
    </row>
    <row r="765" ht="15.75" customHeight="1">
      <c r="C765" s="45"/>
      <c r="G765" s="44"/>
      <c r="H765" s="45"/>
    </row>
    <row r="766" ht="15.75" customHeight="1">
      <c r="C766" s="45"/>
      <c r="G766" s="44"/>
      <c r="H766" s="45"/>
    </row>
    <row r="767" ht="15.75" customHeight="1">
      <c r="C767" s="45"/>
      <c r="G767" s="44"/>
      <c r="H767" s="45"/>
    </row>
    <row r="768" ht="15.75" customHeight="1">
      <c r="C768" s="45"/>
      <c r="G768" s="44"/>
      <c r="H768" s="45"/>
    </row>
    <row r="769" ht="15.75" customHeight="1">
      <c r="C769" s="45"/>
      <c r="G769" s="44"/>
      <c r="H769" s="45"/>
    </row>
    <row r="770" ht="15.75" customHeight="1">
      <c r="C770" s="45"/>
      <c r="G770" s="44"/>
      <c r="H770" s="45"/>
    </row>
    <row r="771" ht="15.75" customHeight="1">
      <c r="C771" s="45"/>
      <c r="G771" s="44"/>
      <c r="H771" s="45"/>
    </row>
    <row r="772" ht="15.75" customHeight="1">
      <c r="C772" s="45"/>
      <c r="G772" s="44"/>
      <c r="H772" s="45"/>
    </row>
    <row r="773" ht="15.75" customHeight="1">
      <c r="C773" s="45"/>
      <c r="G773" s="44"/>
      <c r="H773" s="45"/>
    </row>
    <row r="774" ht="15.75" customHeight="1">
      <c r="C774" s="45"/>
      <c r="G774" s="44"/>
      <c r="H774" s="45"/>
    </row>
    <row r="775" ht="15.75" customHeight="1">
      <c r="C775" s="45"/>
      <c r="G775" s="44"/>
      <c r="H775" s="45"/>
    </row>
    <row r="776" ht="15.75" customHeight="1">
      <c r="C776" s="45"/>
      <c r="G776" s="44"/>
      <c r="H776" s="45"/>
    </row>
    <row r="777" ht="15.75" customHeight="1">
      <c r="C777" s="45"/>
      <c r="G777" s="44"/>
      <c r="H777" s="45"/>
    </row>
    <row r="778" ht="15.75" customHeight="1">
      <c r="C778" s="45"/>
      <c r="G778" s="44"/>
      <c r="H778" s="45"/>
    </row>
    <row r="779" ht="15.75" customHeight="1">
      <c r="C779" s="45"/>
      <c r="G779" s="44"/>
      <c r="H779" s="45"/>
    </row>
    <row r="780" ht="15.75" customHeight="1">
      <c r="C780" s="45"/>
      <c r="G780" s="44"/>
      <c r="H780" s="45"/>
    </row>
    <row r="781" ht="15.75" customHeight="1">
      <c r="C781" s="45"/>
      <c r="G781" s="44"/>
      <c r="H781" s="45"/>
    </row>
    <row r="782" ht="15.75" customHeight="1">
      <c r="C782" s="45"/>
      <c r="G782" s="44"/>
      <c r="H782" s="45"/>
    </row>
    <row r="783" ht="15.75" customHeight="1">
      <c r="C783" s="45"/>
      <c r="G783" s="44"/>
      <c r="H783" s="45"/>
    </row>
    <row r="784" ht="15.75" customHeight="1">
      <c r="C784" s="45"/>
      <c r="G784" s="44"/>
      <c r="H784" s="45"/>
    </row>
    <row r="785" ht="15.75" customHeight="1">
      <c r="C785" s="45"/>
      <c r="G785" s="44"/>
      <c r="H785" s="45"/>
    </row>
    <row r="786" ht="15.75" customHeight="1">
      <c r="C786" s="45"/>
      <c r="G786" s="44"/>
      <c r="H786" s="45"/>
    </row>
    <row r="787" ht="15.75" customHeight="1">
      <c r="C787" s="45"/>
      <c r="G787" s="44"/>
      <c r="H787" s="45"/>
    </row>
    <row r="788" ht="15.75" customHeight="1">
      <c r="C788" s="45"/>
      <c r="G788" s="44"/>
      <c r="H788" s="45"/>
    </row>
    <row r="789" ht="15.75" customHeight="1">
      <c r="C789" s="45"/>
      <c r="G789" s="44"/>
      <c r="H789" s="45"/>
    </row>
    <row r="790" ht="15.75" customHeight="1">
      <c r="C790" s="45"/>
      <c r="G790" s="44"/>
      <c r="H790" s="45"/>
    </row>
    <row r="791" ht="15.75" customHeight="1">
      <c r="C791" s="45"/>
      <c r="G791" s="44"/>
      <c r="H791" s="45"/>
    </row>
    <row r="792" ht="15.75" customHeight="1">
      <c r="C792" s="45"/>
      <c r="G792" s="44"/>
      <c r="H792" s="45"/>
    </row>
    <row r="793" ht="15.75" customHeight="1">
      <c r="C793" s="45"/>
      <c r="G793" s="44"/>
      <c r="H793" s="45"/>
    </row>
    <row r="794" ht="15.75" customHeight="1">
      <c r="C794" s="45"/>
      <c r="G794" s="44"/>
      <c r="H794" s="45"/>
    </row>
    <row r="795" ht="15.75" customHeight="1">
      <c r="C795" s="45"/>
      <c r="G795" s="44"/>
      <c r="H795" s="45"/>
    </row>
    <row r="796" ht="15.75" customHeight="1">
      <c r="C796" s="45"/>
      <c r="G796" s="44"/>
      <c r="H796" s="45"/>
    </row>
    <row r="797" ht="15.75" customHeight="1">
      <c r="C797" s="45"/>
      <c r="G797" s="44"/>
      <c r="H797" s="45"/>
    </row>
    <row r="798" ht="15.75" customHeight="1">
      <c r="C798" s="45"/>
      <c r="G798" s="44"/>
      <c r="H798" s="45"/>
    </row>
    <row r="799" ht="15.75" customHeight="1">
      <c r="C799" s="45"/>
      <c r="G799" s="44"/>
      <c r="H799" s="45"/>
    </row>
    <row r="800" ht="15.75" customHeight="1">
      <c r="C800" s="45"/>
      <c r="G800" s="44"/>
      <c r="H800" s="45"/>
    </row>
    <row r="801" ht="15.75" customHeight="1">
      <c r="C801" s="45"/>
      <c r="G801" s="44"/>
      <c r="H801" s="45"/>
    </row>
    <row r="802" ht="15.75" customHeight="1">
      <c r="C802" s="45"/>
      <c r="G802" s="44"/>
      <c r="H802" s="45"/>
    </row>
    <row r="803" ht="15.75" customHeight="1">
      <c r="C803" s="45"/>
      <c r="G803" s="44"/>
      <c r="H803" s="45"/>
    </row>
    <row r="804" ht="15.75" customHeight="1">
      <c r="C804" s="45"/>
      <c r="G804" s="44"/>
      <c r="H804" s="45"/>
    </row>
    <row r="805" ht="15.75" customHeight="1">
      <c r="C805" s="45"/>
      <c r="G805" s="44"/>
      <c r="H805" s="45"/>
    </row>
    <row r="806" ht="15.75" customHeight="1">
      <c r="C806" s="45"/>
      <c r="G806" s="44"/>
      <c r="H806" s="45"/>
    </row>
    <row r="807" ht="15.75" customHeight="1">
      <c r="C807" s="45"/>
      <c r="G807" s="44"/>
      <c r="H807" s="45"/>
    </row>
    <row r="808" ht="15.75" customHeight="1">
      <c r="C808" s="45"/>
      <c r="G808" s="44"/>
      <c r="H808" s="45"/>
    </row>
    <row r="809" ht="15.75" customHeight="1">
      <c r="C809" s="45"/>
      <c r="G809" s="44"/>
      <c r="H809" s="45"/>
    </row>
    <row r="810" ht="15.75" customHeight="1">
      <c r="C810" s="45"/>
      <c r="G810" s="44"/>
      <c r="H810" s="45"/>
    </row>
    <row r="811" ht="15.75" customHeight="1">
      <c r="C811" s="45"/>
      <c r="G811" s="44"/>
      <c r="H811" s="45"/>
    </row>
    <row r="812" ht="15.75" customHeight="1">
      <c r="C812" s="45"/>
      <c r="G812" s="44"/>
      <c r="H812" s="45"/>
    </row>
    <row r="813" ht="15.75" customHeight="1">
      <c r="C813" s="45"/>
      <c r="G813" s="44"/>
      <c r="H813" s="45"/>
    </row>
    <row r="814" ht="15.75" customHeight="1">
      <c r="C814" s="45"/>
      <c r="G814" s="44"/>
      <c r="H814" s="45"/>
    </row>
    <row r="815" ht="15.75" customHeight="1">
      <c r="C815" s="45"/>
      <c r="G815" s="44"/>
      <c r="H815" s="45"/>
    </row>
    <row r="816" ht="15.75" customHeight="1">
      <c r="C816" s="45"/>
      <c r="G816" s="44"/>
      <c r="H816" s="45"/>
    </row>
    <row r="817" ht="15.75" customHeight="1">
      <c r="C817" s="45"/>
      <c r="G817" s="44"/>
      <c r="H817" s="45"/>
    </row>
    <row r="818" ht="15.75" customHeight="1">
      <c r="C818" s="45"/>
      <c r="G818" s="44"/>
      <c r="H818" s="45"/>
    </row>
    <row r="819" ht="15.75" customHeight="1">
      <c r="C819" s="45"/>
      <c r="G819" s="44"/>
      <c r="H819" s="45"/>
    </row>
    <row r="820" ht="15.75" customHeight="1">
      <c r="C820" s="45"/>
      <c r="G820" s="44"/>
      <c r="H820" s="45"/>
    </row>
    <row r="821" ht="15.75" customHeight="1">
      <c r="C821" s="45"/>
      <c r="G821" s="44"/>
      <c r="H821" s="45"/>
    </row>
    <row r="822" ht="15.75" customHeight="1">
      <c r="C822" s="45"/>
      <c r="G822" s="44"/>
      <c r="H822" s="45"/>
    </row>
    <row r="823" ht="15.75" customHeight="1">
      <c r="C823" s="45"/>
      <c r="G823" s="44"/>
      <c r="H823" s="45"/>
    </row>
    <row r="824" ht="15.75" customHeight="1">
      <c r="C824" s="45"/>
      <c r="G824" s="44"/>
      <c r="H824" s="45"/>
    </row>
    <row r="825" ht="15.75" customHeight="1">
      <c r="C825" s="45"/>
      <c r="G825" s="44"/>
      <c r="H825" s="45"/>
    </row>
    <row r="826" ht="15.75" customHeight="1">
      <c r="C826" s="45"/>
      <c r="G826" s="44"/>
      <c r="H826" s="45"/>
    </row>
    <row r="827" ht="15.75" customHeight="1">
      <c r="C827" s="45"/>
      <c r="G827" s="44"/>
      <c r="H827" s="45"/>
    </row>
    <row r="828" ht="15.75" customHeight="1">
      <c r="C828" s="45"/>
      <c r="G828" s="44"/>
      <c r="H828" s="45"/>
    </row>
    <row r="829" ht="15.75" customHeight="1">
      <c r="C829" s="45"/>
      <c r="G829" s="44"/>
      <c r="H829" s="45"/>
    </row>
    <row r="830" ht="15.75" customHeight="1">
      <c r="C830" s="45"/>
      <c r="G830" s="44"/>
      <c r="H830" s="45"/>
    </row>
    <row r="831" ht="15.75" customHeight="1">
      <c r="C831" s="45"/>
      <c r="G831" s="44"/>
      <c r="H831" s="45"/>
    </row>
    <row r="832" ht="15.75" customHeight="1">
      <c r="C832" s="45"/>
      <c r="G832" s="44"/>
      <c r="H832" s="45"/>
    </row>
    <row r="833" ht="15.75" customHeight="1">
      <c r="C833" s="45"/>
      <c r="G833" s="44"/>
      <c r="H833" s="45"/>
    </row>
    <row r="834" ht="15.75" customHeight="1">
      <c r="C834" s="45"/>
      <c r="G834" s="44"/>
      <c r="H834" s="45"/>
    </row>
    <row r="835" ht="15.75" customHeight="1">
      <c r="C835" s="45"/>
      <c r="G835" s="44"/>
      <c r="H835" s="45"/>
    </row>
    <row r="836" ht="15.75" customHeight="1">
      <c r="C836" s="45"/>
      <c r="G836" s="44"/>
      <c r="H836" s="45"/>
    </row>
    <row r="837" ht="15.75" customHeight="1">
      <c r="C837" s="45"/>
      <c r="G837" s="44"/>
      <c r="H837" s="45"/>
    </row>
    <row r="838" ht="15.75" customHeight="1">
      <c r="C838" s="45"/>
      <c r="G838" s="44"/>
      <c r="H838" s="45"/>
    </row>
    <row r="839" ht="15.75" customHeight="1">
      <c r="C839" s="45"/>
      <c r="G839" s="44"/>
      <c r="H839" s="45"/>
    </row>
    <row r="840" ht="15.75" customHeight="1">
      <c r="C840" s="45"/>
      <c r="G840" s="44"/>
      <c r="H840" s="45"/>
    </row>
    <row r="841" ht="15.75" customHeight="1">
      <c r="C841" s="45"/>
      <c r="G841" s="44"/>
      <c r="H841" s="45"/>
    </row>
    <row r="842" ht="15.75" customHeight="1">
      <c r="C842" s="45"/>
      <c r="G842" s="44"/>
      <c r="H842" s="45"/>
    </row>
    <row r="843" ht="15.75" customHeight="1">
      <c r="C843" s="45"/>
      <c r="G843" s="44"/>
      <c r="H843" s="45"/>
    </row>
    <row r="844" ht="15.75" customHeight="1">
      <c r="C844" s="45"/>
      <c r="G844" s="44"/>
      <c r="H844" s="45"/>
    </row>
    <row r="845" ht="15.75" customHeight="1">
      <c r="C845" s="45"/>
      <c r="G845" s="44"/>
      <c r="H845" s="45"/>
    </row>
    <row r="846" ht="15.75" customHeight="1">
      <c r="C846" s="45"/>
      <c r="G846" s="44"/>
      <c r="H846" s="45"/>
    </row>
    <row r="847" ht="15.75" customHeight="1">
      <c r="C847" s="45"/>
      <c r="G847" s="44"/>
      <c r="H847" s="45"/>
    </row>
    <row r="848" ht="15.75" customHeight="1">
      <c r="C848" s="45"/>
      <c r="G848" s="44"/>
      <c r="H848" s="45"/>
    </row>
    <row r="849" ht="15.75" customHeight="1">
      <c r="C849" s="45"/>
      <c r="G849" s="44"/>
      <c r="H849" s="45"/>
    </row>
    <row r="850" ht="15.75" customHeight="1">
      <c r="C850" s="45"/>
      <c r="G850" s="44"/>
      <c r="H850" s="45"/>
    </row>
    <row r="851" ht="15.75" customHeight="1">
      <c r="C851" s="45"/>
      <c r="G851" s="44"/>
      <c r="H851" s="45"/>
    </row>
    <row r="852" ht="15.75" customHeight="1">
      <c r="C852" s="45"/>
      <c r="G852" s="44"/>
      <c r="H852" s="45"/>
    </row>
    <row r="853" ht="15.75" customHeight="1">
      <c r="C853" s="45"/>
      <c r="G853" s="44"/>
      <c r="H853" s="45"/>
    </row>
    <row r="854" ht="15.75" customHeight="1">
      <c r="C854" s="45"/>
      <c r="G854" s="44"/>
      <c r="H854" s="45"/>
    </row>
    <row r="855" ht="15.75" customHeight="1">
      <c r="C855" s="45"/>
      <c r="G855" s="44"/>
      <c r="H855" s="45"/>
    </row>
    <row r="856" ht="15.75" customHeight="1">
      <c r="C856" s="45"/>
      <c r="G856" s="44"/>
      <c r="H856" s="45"/>
    </row>
    <row r="857" ht="15.75" customHeight="1">
      <c r="C857" s="45"/>
      <c r="G857" s="44"/>
      <c r="H857" s="45"/>
    </row>
    <row r="858" ht="15.75" customHeight="1">
      <c r="C858" s="45"/>
      <c r="G858" s="44"/>
      <c r="H858" s="45"/>
    </row>
    <row r="859" ht="15.75" customHeight="1">
      <c r="C859" s="45"/>
      <c r="G859" s="44"/>
      <c r="H859" s="45"/>
    </row>
    <row r="860" ht="15.75" customHeight="1">
      <c r="C860" s="45"/>
      <c r="G860" s="44"/>
      <c r="H860" s="45"/>
    </row>
    <row r="861" ht="15.75" customHeight="1">
      <c r="C861" s="45"/>
      <c r="G861" s="44"/>
      <c r="H861" s="45"/>
    </row>
    <row r="862" ht="15.75" customHeight="1">
      <c r="C862" s="45"/>
      <c r="G862" s="44"/>
      <c r="H862" s="45"/>
    </row>
    <row r="863" ht="15.75" customHeight="1">
      <c r="C863" s="45"/>
      <c r="G863" s="44"/>
      <c r="H863" s="45"/>
    </row>
    <row r="864" ht="15.75" customHeight="1">
      <c r="C864" s="45"/>
      <c r="G864" s="44"/>
      <c r="H864" s="45"/>
    </row>
    <row r="865" ht="15.75" customHeight="1">
      <c r="C865" s="45"/>
      <c r="G865" s="44"/>
      <c r="H865" s="45"/>
    </row>
    <row r="866" ht="15.75" customHeight="1">
      <c r="C866" s="45"/>
      <c r="G866" s="44"/>
      <c r="H866" s="45"/>
    </row>
    <row r="867" ht="15.75" customHeight="1">
      <c r="C867" s="45"/>
      <c r="G867" s="44"/>
      <c r="H867" s="45"/>
    </row>
    <row r="868" ht="15.75" customHeight="1">
      <c r="C868" s="45"/>
      <c r="G868" s="44"/>
      <c r="H868" s="45"/>
    </row>
    <row r="869" ht="15.75" customHeight="1">
      <c r="C869" s="45"/>
      <c r="G869" s="44"/>
      <c r="H869" s="45"/>
    </row>
    <row r="870" ht="15.75" customHeight="1">
      <c r="C870" s="45"/>
      <c r="G870" s="44"/>
      <c r="H870" s="45"/>
    </row>
    <row r="871" ht="15.75" customHeight="1">
      <c r="C871" s="45"/>
      <c r="G871" s="44"/>
      <c r="H871" s="45"/>
    </row>
    <row r="872" ht="15.75" customHeight="1">
      <c r="C872" s="45"/>
      <c r="G872" s="44"/>
      <c r="H872" s="45"/>
    </row>
    <row r="873" ht="15.75" customHeight="1">
      <c r="C873" s="45"/>
      <c r="G873" s="44"/>
      <c r="H873" s="45"/>
    </row>
    <row r="874" ht="15.75" customHeight="1">
      <c r="C874" s="45"/>
      <c r="G874" s="44"/>
      <c r="H874" s="45"/>
    </row>
    <row r="875" ht="15.75" customHeight="1">
      <c r="C875" s="45"/>
      <c r="G875" s="44"/>
      <c r="H875" s="45"/>
    </row>
    <row r="876" ht="15.75" customHeight="1">
      <c r="C876" s="45"/>
      <c r="G876" s="44"/>
      <c r="H876" s="45"/>
    </row>
    <row r="877" ht="15.75" customHeight="1">
      <c r="C877" s="45"/>
      <c r="G877" s="44"/>
      <c r="H877" s="45"/>
    </row>
    <row r="878" ht="15.75" customHeight="1">
      <c r="C878" s="45"/>
      <c r="G878" s="44"/>
      <c r="H878" s="45"/>
    </row>
    <row r="879" ht="15.75" customHeight="1">
      <c r="C879" s="45"/>
      <c r="G879" s="44"/>
      <c r="H879" s="45"/>
    </row>
    <row r="880" ht="15.75" customHeight="1">
      <c r="C880" s="45"/>
      <c r="G880" s="44"/>
      <c r="H880" s="45"/>
    </row>
    <row r="881" ht="15.75" customHeight="1">
      <c r="C881" s="45"/>
      <c r="G881" s="44"/>
      <c r="H881" s="45"/>
    </row>
    <row r="882" ht="15.75" customHeight="1">
      <c r="C882" s="45"/>
      <c r="G882" s="44"/>
      <c r="H882" s="45"/>
    </row>
    <row r="883" ht="15.75" customHeight="1">
      <c r="C883" s="45"/>
      <c r="G883" s="44"/>
      <c r="H883" s="45"/>
    </row>
    <row r="884" ht="15.75" customHeight="1">
      <c r="C884" s="45"/>
      <c r="G884" s="44"/>
      <c r="H884" s="45"/>
    </row>
    <row r="885" ht="15.75" customHeight="1">
      <c r="C885" s="45"/>
      <c r="G885" s="44"/>
      <c r="H885" s="45"/>
    </row>
    <row r="886" ht="15.75" customHeight="1">
      <c r="C886" s="45"/>
      <c r="G886" s="44"/>
      <c r="H886" s="45"/>
    </row>
    <row r="887" ht="15.75" customHeight="1">
      <c r="C887" s="45"/>
      <c r="G887" s="44"/>
      <c r="H887" s="45"/>
    </row>
    <row r="888" ht="15.75" customHeight="1">
      <c r="C888" s="45"/>
      <c r="G888" s="44"/>
      <c r="H888" s="45"/>
    </row>
    <row r="889" ht="15.75" customHeight="1">
      <c r="C889" s="45"/>
      <c r="G889" s="44"/>
      <c r="H889" s="45"/>
    </row>
    <row r="890" ht="15.75" customHeight="1">
      <c r="C890" s="45"/>
      <c r="G890" s="44"/>
      <c r="H890" s="45"/>
    </row>
    <row r="891" ht="15.75" customHeight="1">
      <c r="C891" s="45"/>
      <c r="G891" s="44"/>
      <c r="H891" s="45"/>
    </row>
    <row r="892" ht="15.75" customHeight="1">
      <c r="C892" s="45"/>
      <c r="G892" s="44"/>
      <c r="H892" s="45"/>
    </row>
    <row r="893" ht="15.75" customHeight="1">
      <c r="C893" s="45"/>
      <c r="G893" s="44"/>
      <c r="H893" s="45"/>
    </row>
    <row r="894" ht="15.75" customHeight="1">
      <c r="C894" s="45"/>
      <c r="G894" s="44"/>
      <c r="H894" s="45"/>
    </row>
    <row r="895" ht="15.75" customHeight="1">
      <c r="C895" s="45"/>
      <c r="G895" s="44"/>
      <c r="H895" s="45"/>
    </row>
    <row r="896" ht="15.75" customHeight="1">
      <c r="C896" s="45"/>
      <c r="G896" s="44"/>
      <c r="H896" s="45"/>
    </row>
    <row r="897" ht="15.75" customHeight="1">
      <c r="C897" s="45"/>
      <c r="G897" s="44"/>
      <c r="H897" s="45"/>
    </row>
    <row r="898" ht="15.75" customHeight="1">
      <c r="C898" s="45"/>
      <c r="G898" s="44"/>
      <c r="H898" s="45"/>
    </row>
    <row r="899" ht="15.75" customHeight="1">
      <c r="C899" s="45"/>
      <c r="G899" s="44"/>
      <c r="H899" s="45"/>
    </row>
    <row r="900" ht="15.75" customHeight="1">
      <c r="C900" s="45"/>
      <c r="G900" s="44"/>
      <c r="H900" s="45"/>
    </row>
    <row r="901" ht="15.75" customHeight="1">
      <c r="C901" s="45"/>
      <c r="G901" s="44"/>
      <c r="H901" s="45"/>
    </row>
    <row r="902" ht="15.75" customHeight="1">
      <c r="C902" s="45"/>
      <c r="G902" s="44"/>
      <c r="H902" s="45"/>
    </row>
    <row r="903" ht="15.75" customHeight="1">
      <c r="C903" s="45"/>
      <c r="G903" s="44"/>
      <c r="H903" s="45"/>
    </row>
    <row r="904" ht="15.75" customHeight="1">
      <c r="C904" s="45"/>
      <c r="G904" s="44"/>
      <c r="H904" s="45"/>
    </row>
    <row r="905" ht="15.75" customHeight="1">
      <c r="C905" s="45"/>
      <c r="G905" s="44"/>
      <c r="H905" s="45"/>
    </row>
    <row r="906" ht="15.75" customHeight="1">
      <c r="C906" s="45"/>
      <c r="G906" s="44"/>
      <c r="H906" s="45"/>
    </row>
    <row r="907" ht="15.75" customHeight="1">
      <c r="C907" s="45"/>
      <c r="G907" s="44"/>
      <c r="H907" s="45"/>
    </row>
    <row r="908" ht="15.75" customHeight="1">
      <c r="C908" s="45"/>
      <c r="G908" s="44"/>
      <c r="H908" s="45"/>
    </row>
    <row r="909" ht="15.75" customHeight="1">
      <c r="C909" s="45"/>
      <c r="G909" s="44"/>
      <c r="H909" s="45"/>
    </row>
    <row r="910" ht="15.75" customHeight="1">
      <c r="C910" s="45"/>
      <c r="G910" s="44"/>
      <c r="H910" s="45"/>
    </row>
    <row r="911" ht="15.75" customHeight="1">
      <c r="C911" s="45"/>
      <c r="G911" s="44"/>
      <c r="H911" s="45"/>
    </row>
    <row r="912" ht="15.75" customHeight="1">
      <c r="C912" s="45"/>
      <c r="G912" s="44"/>
      <c r="H912" s="45"/>
    </row>
    <row r="913" ht="15.75" customHeight="1">
      <c r="C913" s="45"/>
      <c r="G913" s="44"/>
      <c r="H913" s="45"/>
    </row>
    <row r="914" ht="15.75" customHeight="1">
      <c r="C914" s="45"/>
      <c r="G914" s="44"/>
      <c r="H914" s="45"/>
    </row>
    <row r="915" ht="15.75" customHeight="1">
      <c r="C915" s="45"/>
      <c r="G915" s="44"/>
      <c r="H915" s="45"/>
    </row>
    <row r="916" ht="15.75" customHeight="1">
      <c r="C916" s="45"/>
      <c r="G916" s="44"/>
      <c r="H916" s="45"/>
    </row>
    <row r="917" ht="15.75" customHeight="1">
      <c r="C917" s="45"/>
      <c r="G917" s="44"/>
      <c r="H917" s="45"/>
    </row>
    <row r="918" ht="15.75" customHeight="1">
      <c r="C918" s="45"/>
      <c r="G918" s="44"/>
      <c r="H918" s="45"/>
    </row>
    <row r="919" ht="15.75" customHeight="1">
      <c r="C919" s="45"/>
      <c r="G919" s="44"/>
      <c r="H919" s="45"/>
    </row>
    <row r="920" ht="15.75" customHeight="1">
      <c r="C920" s="45"/>
      <c r="G920" s="44"/>
      <c r="H920" s="45"/>
    </row>
    <row r="921" ht="15.75" customHeight="1">
      <c r="C921" s="45"/>
      <c r="G921" s="44"/>
      <c r="H921" s="45"/>
    </row>
    <row r="922" ht="15.75" customHeight="1">
      <c r="C922" s="45"/>
      <c r="G922" s="44"/>
      <c r="H922" s="45"/>
    </row>
    <row r="923" ht="15.75" customHeight="1">
      <c r="C923" s="45"/>
      <c r="G923" s="44"/>
      <c r="H923" s="45"/>
    </row>
    <row r="924" ht="15.75" customHeight="1">
      <c r="C924" s="45"/>
      <c r="G924" s="44"/>
      <c r="H924" s="45"/>
    </row>
    <row r="925" ht="15.75" customHeight="1">
      <c r="C925" s="45"/>
      <c r="G925" s="44"/>
      <c r="H925" s="45"/>
    </row>
    <row r="926" ht="15.75" customHeight="1">
      <c r="C926" s="45"/>
      <c r="G926" s="44"/>
      <c r="H926" s="45"/>
    </row>
    <row r="927" ht="15.75" customHeight="1">
      <c r="C927" s="45"/>
      <c r="G927" s="44"/>
      <c r="H927" s="45"/>
    </row>
    <row r="928" ht="15.75" customHeight="1">
      <c r="C928" s="45"/>
      <c r="G928" s="44"/>
      <c r="H928" s="45"/>
    </row>
    <row r="929" ht="15.75" customHeight="1">
      <c r="C929" s="45"/>
      <c r="G929" s="44"/>
      <c r="H929" s="45"/>
    </row>
    <row r="930" ht="15.75" customHeight="1">
      <c r="C930" s="45"/>
      <c r="G930" s="44"/>
      <c r="H930" s="45"/>
    </row>
    <row r="931" ht="15.75" customHeight="1">
      <c r="C931" s="45"/>
      <c r="G931" s="44"/>
      <c r="H931" s="45"/>
    </row>
    <row r="932" ht="15.75" customHeight="1">
      <c r="C932" s="45"/>
      <c r="G932" s="44"/>
      <c r="H932" s="45"/>
    </row>
    <row r="933" ht="15.75" customHeight="1">
      <c r="C933" s="45"/>
      <c r="G933" s="44"/>
      <c r="H933" s="45"/>
    </row>
    <row r="934" ht="15.75" customHeight="1">
      <c r="C934" s="45"/>
      <c r="G934" s="44"/>
      <c r="H934" s="45"/>
    </row>
    <row r="935" ht="15.75" customHeight="1">
      <c r="C935" s="45"/>
      <c r="G935" s="44"/>
      <c r="H935" s="45"/>
    </row>
    <row r="936" ht="15.75" customHeight="1">
      <c r="C936" s="45"/>
      <c r="G936" s="44"/>
      <c r="H936" s="45"/>
    </row>
    <row r="937" ht="15.75" customHeight="1">
      <c r="C937" s="45"/>
      <c r="G937" s="44"/>
      <c r="H937" s="45"/>
    </row>
    <row r="938" ht="15.75" customHeight="1">
      <c r="C938" s="45"/>
      <c r="G938" s="44"/>
      <c r="H938" s="45"/>
    </row>
    <row r="939" ht="15.75" customHeight="1">
      <c r="C939" s="45"/>
      <c r="G939" s="44"/>
      <c r="H939" s="45"/>
    </row>
    <row r="940" ht="15.75" customHeight="1">
      <c r="C940" s="45"/>
      <c r="G940" s="44"/>
      <c r="H940" s="45"/>
    </row>
    <row r="941" ht="15.75" customHeight="1">
      <c r="C941" s="45"/>
      <c r="G941" s="44"/>
      <c r="H941" s="45"/>
    </row>
    <row r="942" ht="15.75" customHeight="1">
      <c r="C942" s="45"/>
      <c r="G942" s="44"/>
      <c r="H942" s="45"/>
    </row>
    <row r="943" ht="15.75" customHeight="1">
      <c r="C943" s="45"/>
      <c r="G943" s="44"/>
      <c r="H943" s="45"/>
    </row>
    <row r="944" ht="15.75" customHeight="1">
      <c r="C944" s="45"/>
      <c r="G944" s="44"/>
      <c r="H944" s="45"/>
    </row>
    <row r="945" ht="15.75" customHeight="1">
      <c r="C945" s="45"/>
      <c r="G945" s="44"/>
      <c r="H945" s="45"/>
    </row>
    <row r="946" ht="15.75" customHeight="1">
      <c r="C946" s="45"/>
      <c r="G946" s="44"/>
      <c r="H946" s="45"/>
    </row>
    <row r="947" ht="15.75" customHeight="1">
      <c r="C947" s="45"/>
      <c r="G947" s="44"/>
      <c r="H947" s="45"/>
    </row>
    <row r="948" ht="15.75" customHeight="1">
      <c r="C948" s="45"/>
      <c r="G948" s="44"/>
      <c r="H948" s="45"/>
    </row>
    <row r="949" ht="15.75" customHeight="1">
      <c r="C949" s="45"/>
      <c r="G949" s="44"/>
      <c r="H949" s="45"/>
    </row>
    <row r="950" ht="15.75" customHeight="1">
      <c r="C950" s="45"/>
      <c r="G950" s="44"/>
      <c r="H950" s="45"/>
    </row>
    <row r="951" ht="15.75" customHeight="1">
      <c r="C951" s="45"/>
      <c r="G951" s="44"/>
      <c r="H951" s="45"/>
    </row>
    <row r="952" ht="15.75" customHeight="1">
      <c r="C952" s="45"/>
      <c r="G952" s="44"/>
      <c r="H952" s="45"/>
    </row>
    <row r="953" ht="15.75" customHeight="1">
      <c r="C953" s="45"/>
      <c r="G953" s="44"/>
      <c r="H953" s="45"/>
    </row>
    <row r="954" ht="15.75" customHeight="1">
      <c r="C954" s="45"/>
      <c r="G954" s="44"/>
      <c r="H954" s="45"/>
    </row>
    <row r="955" ht="15.75" customHeight="1">
      <c r="C955" s="45"/>
      <c r="G955" s="44"/>
      <c r="H955" s="45"/>
    </row>
    <row r="956" ht="15.75" customHeight="1">
      <c r="C956" s="45"/>
      <c r="G956" s="44"/>
      <c r="H956" s="45"/>
    </row>
    <row r="957" ht="15.75" customHeight="1">
      <c r="C957" s="45"/>
      <c r="G957" s="44"/>
      <c r="H957" s="45"/>
    </row>
    <row r="958" ht="15.75" customHeight="1">
      <c r="C958" s="45"/>
      <c r="G958" s="44"/>
      <c r="H958" s="45"/>
    </row>
    <row r="959" ht="15.75" customHeight="1">
      <c r="C959" s="45"/>
      <c r="G959" s="44"/>
      <c r="H959" s="45"/>
    </row>
    <row r="960" ht="15.75" customHeight="1">
      <c r="C960" s="45"/>
      <c r="G960" s="44"/>
      <c r="H960" s="45"/>
    </row>
    <row r="961" ht="15.75" customHeight="1">
      <c r="C961" s="45"/>
      <c r="G961" s="44"/>
      <c r="H961" s="45"/>
    </row>
    <row r="962" ht="15.75" customHeight="1">
      <c r="C962" s="45"/>
      <c r="G962" s="44"/>
      <c r="H962" s="45"/>
    </row>
    <row r="963" ht="15.75" customHeight="1">
      <c r="C963" s="45"/>
      <c r="G963" s="44"/>
      <c r="H963" s="45"/>
    </row>
    <row r="964" ht="15.75" customHeight="1">
      <c r="C964" s="45"/>
      <c r="G964" s="44"/>
      <c r="H964" s="45"/>
    </row>
    <row r="965" ht="15.75" customHeight="1">
      <c r="C965" s="45"/>
      <c r="G965" s="44"/>
      <c r="H965" s="45"/>
    </row>
    <row r="966" ht="15.75" customHeight="1">
      <c r="C966" s="45"/>
      <c r="G966" s="44"/>
      <c r="H966" s="45"/>
    </row>
    <row r="967" ht="15.75" customHeight="1">
      <c r="C967" s="45"/>
      <c r="G967" s="44"/>
      <c r="H967" s="45"/>
    </row>
    <row r="968" ht="15.75" customHeight="1">
      <c r="C968" s="45"/>
      <c r="G968" s="44"/>
      <c r="H968" s="45"/>
    </row>
    <row r="969" ht="15.75" customHeight="1">
      <c r="C969" s="45"/>
      <c r="G969" s="44"/>
      <c r="H969" s="45"/>
    </row>
    <row r="970" ht="15.75" customHeight="1">
      <c r="C970" s="45"/>
      <c r="G970" s="44"/>
      <c r="H970" s="45"/>
    </row>
    <row r="971" ht="15.75" customHeight="1">
      <c r="C971" s="45"/>
      <c r="G971" s="44"/>
      <c r="H971" s="45"/>
    </row>
    <row r="972" ht="15.75" customHeight="1">
      <c r="C972" s="45"/>
      <c r="G972" s="44"/>
      <c r="H972" s="45"/>
    </row>
    <row r="973" ht="15.75" customHeight="1">
      <c r="C973" s="45"/>
      <c r="G973" s="44"/>
      <c r="H973" s="45"/>
    </row>
    <row r="974" ht="15.75" customHeight="1">
      <c r="C974" s="45"/>
      <c r="G974" s="44"/>
      <c r="H974" s="45"/>
    </row>
    <row r="975" ht="15.75" customHeight="1">
      <c r="C975" s="45"/>
      <c r="G975" s="44"/>
      <c r="H975" s="45"/>
    </row>
    <row r="976" ht="15.75" customHeight="1">
      <c r="C976" s="45"/>
      <c r="G976" s="44"/>
      <c r="H976" s="45"/>
    </row>
    <row r="977" ht="15.75" customHeight="1">
      <c r="C977" s="45"/>
      <c r="G977" s="44"/>
      <c r="H977" s="45"/>
    </row>
    <row r="978" ht="15.75" customHeight="1">
      <c r="C978" s="45"/>
      <c r="G978" s="44"/>
      <c r="H978" s="45"/>
    </row>
    <row r="979" ht="15.75" customHeight="1">
      <c r="C979" s="45"/>
      <c r="G979" s="44"/>
      <c r="H979" s="45"/>
    </row>
    <row r="980" ht="15.75" customHeight="1">
      <c r="C980" s="45"/>
      <c r="G980" s="44"/>
      <c r="H980" s="45"/>
    </row>
    <row r="981" ht="15.75" customHeight="1">
      <c r="C981" s="45"/>
      <c r="G981" s="44"/>
      <c r="H981" s="45"/>
    </row>
    <row r="982" ht="15.75" customHeight="1">
      <c r="C982" s="45"/>
      <c r="G982" s="44"/>
      <c r="H982" s="45"/>
    </row>
    <row r="983" ht="15.75" customHeight="1">
      <c r="C983" s="45"/>
      <c r="G983" s="44"/>
      <c r="H983" s="45"/>
    </row>
    <row r="984" ht="15.75" customHeight="1">
      <c r="C984" s="45"/>
      <c r="G984" s="44"/>
      <c r="H984" s="45"/>
    </row>
    <row r="985" ht="15.75" customHeight="1">
      <c r="C985" s="45"/>
      <c r="G985" s="44"/>
      <c r="H985" s="45"/>
    </row>
    <row r="986" ht="15.75" customHeight="1">
      <c r="C986" s="45"/>
      <c r="G986" s="44"/>
      <c r="H986" s="45"/>
    </row>
    <row r="987" ht="15.75" customHeight="1">
      <c r="C987" s="45"/>
      <c r="G987" s="44"/>
      <c r="H987" s="45"/>
    </row>
    <row r="988" ht="15.75" customHeight="1">
      <c r="C988" s="45"/>
      <c r="G988" s="44"/>
      <c r="H988" s="45"/>
    </row>
    <row r="989" ht="15.75" customHeight="1">
      <c r="C989" s="45"/>
      <c r="G989" s="44"/>
      <c r="H989" s="45"/>
    </row>
    <row r="990" ht="15.75" customHeight="1">
      <c r="C990" s="45"/>
      <c r="G990" s="44"/>
      <c r="H990" s="45"/>
    </row>
    <row r="991" ht="15.75" customHeight="1">
      <c r="C991" s="45"/>
      <c r="G991" s="44"/>
      <c r="H991" s="45"/>
    </row>
    <row r="992" ht="15.75" customHeight="1">
      <c r="C992" s="45"/>
      <c r="G992" s="44"/>
      <c r="H992" s="45"/>
    </row>
    <row r="993" ht="15.75" customHeight="1">
      <c r="C993" s="45"/>
      <c r="G993" s="44"/>
      <c r="H993" s="45"/>
    </row>
    <row r="994" ht="15.75" customHeight="1">
      <c r="C994" s="45"/>
      <c r="G994" s="44"/>
      <c r="H994" s="45"/>
    </row>
    <row r="995" ht="15.75" customHeight="1">
      <c r="C995" s="45"/>
      <c r="G995" s="44"/>
      <c r="H995" s="45"/>
    </row>
    <row r="996" ht="15.75" customHeight="1">
      <c r="C996" s="45"/>
      <c r="G996" s="44"/>
      <c r="H996" s="45"/>
    </row>
    <row r="997" ht="15.75" customHeight="1">
      <c r="C997" s="45"/>
      <c r="G997" s="44"/>
      <c r="H997" s="45"/>
    </row>
    <row r="998" ht="15.75" customHeight="1">
      <c r="C998" s="45"/>
      <c r="G998" s="44"/>
      <c r="H998" s="45"/>
    </row>
    <row r="999" ht="15.75" customHeight="1">
      <c r="C999" s="45"/>
      <c r="G999" s="44"/>
      <c r="H999" s="45"/>
    </row>
    <row r="1000" ht="15.75" customHeight="1">
      <c r="C1000" s="45"/>
      <c r="G1000" s="44"/>
      <c r="H1000" s="45"/>
    </row>
    <row r="1001" ht="15.75" customHeight="1">
      <c r="C1001" s="45"/>
      <c r="G1001" s="44"/>
      <c r="H1001" s="45"/>
    </row>
    <row r="1002" ht="15.75" customHeight="1">
      <c r="C1002" s="45"/>
      <c r="G1002" s="44"/>
      <c r="H1002" s="45"/>
    </row>
  </sheetData>
  <mergeCells count="2">
    <mergeCell ref="B2:C2"/>
    <mergeCell ref="B4:C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0.0"/>
    <col customWidth="1" min="3" max="3" width="38.86"/>
    <col customWidth="1" min="4" max="4" width="37.0"/>
    <col customWidth="1" min="5" max="5" width="28.71"/>
    <col customWidth="1" min="7" max="7" width="17.0"/>
    <col customWidth="1" min="8" max="9" width="28.57"/>
  </cols>
  <sheetData>
    <row r="1">
      <c r="A1" s="42"/>
      <c r="B1" s="42"/>
      <c r="C1" s="42"/>
      <c r="D1" s="42"/>
      <c r="H1" s="50"/>
    </row>
    <row r="2">
      <c r="A2" s="42"/>
      <c r="B2" s="47" t="s">
        <v>181</v>
      </c>
      <c r="E2" s="50"/>
      <c r="H2" s="50"/>
    </row>
    <row r="3">
      <c r="A3" s="42"/>
      <c r="B3" s="42"/>
      <c r="C3" s="42"/>
      <c r="D3" s="42"/>
      <c r="E3" s="50"/>
      <c r="H3" s="50"/>
    </row>
    <row r="4">
      <c r="A4" s="42"/>
      <c r="B4" s="61" t="s">
        <v>182</v>
      </c>
      <c r="E4" s="50"/>
      <c r="H4" s="62"/>
    </row>
    <row r="5" ht="51.75" customHeight="1">
      <c r="A5" s="42"/>
      <c r="E5" s="50"/>
      <c r="H5" s="50"/>
    </row>
    <row r="6">
      <c r="A6" s="42"/>
      <c r="B6" s="42"/>
      <c r="C6" s="42"/>
      <c r="D6" s="42"/>
      <c r="E6" s="50"/>
      <c r="H6" s="50"/>
    </row>
    <row r="7">
      <c r="A7" s="42"/>
      <c r="B7" s="9" t="s">
        <v>0</v>
      </c>
      <c r="C7" s="9" t="s">
        <v>2</v>
      </c>
      <c r="D7" s="9" t="s">
        <v>183</v>
      </c>
      <c r="E7" s="50"/>
      <c r="H7" s="50"/>
    </row>
    <row r="8">
      <c r="A8" s="42"/>
      <c r="B8" s="53">
        <v>31412.0</v>
      </c>
      <c r="C8" s="54">
        <v>9.27</v>
      </c>
      <c r="D8" s="63">
        <f t="shared" ref="D8:D163" si="1">ROUND((1+C8/100)^4 -1, 3)</f>
        <v>0.426</v>
      </c>
      <c r="E8" s="50"/>
    </row>
    <row r="9">
      <c r="A9" s="42"/>
      <c r="B9" s="55">
        <v>31502.0</v>
      </c>
      <c r="C9" s="54">
        <v>7.14</v>
      </c>
      <c r="D9" s="63">
        <f t="shared" si="1"/>
        <v>0.318</v>
      </c>
      <c r="E9" s="50"/>
    </row>
    <row r="10">
      <c r="A10" s="42"/>
      <c r="B10" s="55">
        <v>31593.0</v>
      </c>
      <c r="C10" s="64"/>
      <c r="D10" s="63">
        <f t="shared" si="1"/>
        <v>0</v>
      </c>
    </row>
    <row r="11">
      <c r="A11" s="42"/>
      <c r="B11" s="55">
        <v>31685.0</v>
      </c>
      <c r="C11" s="54">
        <v>8.25</v>
      </c>
      <c r="D11" s="63">
        <f t="shared" si="1"/>
        <v>0.373</v>
      </c>
    </row>
    <row r="12">
      <c r="A12" s="42"/>
      <c r="B12" s="53">
        <v>31777.0</v>
      </c>
      <c r="C12" s="54">
        <v>7.48</v>
      </c>
      <c r="D12" s="63">
        <f t="shared" si="1"/>
        <v>0.334</v>
      </c>
    </row>
    <row r="13">
      <c r="A13" s="42"/>
      <c r="B13" s="55">
        <v>31867.0</v>
      </c>
      <c r="C13" s="54">
        <v>7.82</v>
      </c>
      <c r="D13" s="63">
        <f t="shared" si="1"/>
        <v>0.351</v>
      </c>
    </row>
    <row r="14">
      <c r="A14" s="46"/>
      <c r="B14" s="55">
        <v>31958.0</v>
      </c>
      <c r="C14" s="54">
        <v>7.56</v>
      </c>
      <c r="D14" s="63">
        <f t="shared" si="1"/>
        <v>0.338</v>
      </c>
    </row>
    <row r="15">
      <c r="A15" s="65"/>
      <c r="B15" s="55">
        <v>32050.0</v>
      </c>
      <c r="C15" s="54">
        <v>7.42</v>
      </c>
      <c r="D15" s="63">
        <f t="shared" si="1"/>
        <v>0.331</v>
      </c>
    </row>
    <row r="16">
      <c r="A16" s="65"/>
      <c r="B16" s="53">
        <v>32142.0</v>
      </c>
      <c r="C16" s="54">
        <v>7.72</v>
      </c>
      <c r="D16" s="63">
        <f t="shared" si="1"/>
        <v>0.346</v>
      </c>
    </row>
    <row r="17">
      <c r="A17" s="65"/>
      <c r="B17" s="55">
        <v>32233.0</v>
      </c>
      <c r="C17" s="54">
        <v>7.18</v>
      </c>
      <c r="D17" s="63">
        <f t="shared" si="1"/>
        <v>0.32</v>
      </c>
    </row>
    <row r="18">
      <c r="A18" s="65"/>
      <c r="B18" s="55">
        <v>32324.0</v>
      </c>
      <c r="C18" s="54">
        <v>7.29</v>
      </c>
      <c r="D18" s="63">
        <f t="shared" si="1"/>
        <v>0.325</v>
      </c>
    </row>
    <row r="19">
      <c r="A19" s="65"/>
      <c r="B19" s="55">
        <v>32416.0</v>
      </c>
      <c r="C19" s="54">
        <v>7.6</v>
      </c>
      <c r="D19" s="63">
        <f t="shared" si="1"/>
        <v>0.34</v>
      </c>
    </row>
    <row r="20">
      <c r="A20" s="65"/>
      <c r="B20" s="53">
        <v>32508.0</v>
      </c>
      <c r="C20" s="54">
        <v>8.68</v>
      </c>
      <c r="D20" s="63">
        <f t="shared" si="1"/>
        <v>0.395</v>
      </c>
    </row>
    <row r="21">
      <c r="A21" s="65"/>
      <c r="B21" s="55">
        <v>32598.0</v>
      </c>
      <c r="C21" s="54">
        <v>9.37</v>
      </c>
      <c r="D21" s="63">
        <f t="shared" si="1"/>
        <v>0.431</v>
      </c>
    </row>
    <row r="22">
      <c r="A22" s="65"/>
      <c r="B22" s="55">
        <v>32689.0</v>
      </c>
      <c r="C22" s="54">
        <v>9.02</v>
      </c>
      <c r="D22" s="63">
        <f t="shared" si="1"/>
        <v>0.413</v>
      </c>
    </row>
    <row r="23">
      <c r="A23" s="65"/>
      <c r="B23" s="55">
        <v>32781.0</v>
      </c>
      <c r="C23" s="54">
        <v>8.74</v>
      </c>
      <c r="D23" s="63">
        <f t="shared" si="1"/>
        <v>0.398</v>
      </c>
    </row>
    <row r="24">
      <c r="A24" s="65"/>
      <c r="B24" s="53">
        <v>32873.0</v>
      </c>
      <c r="C24" s="54">
        <v>8.04</v>
      </c>
      <c r="D24" s="63">
        <f t="shared" si="1"/>
        <v>0.363</v>
      </c>
    </row>
    <row r="25">
      <c r="A25" s="65"/>
      <c r="B25" s="55">
        <v>32963.0</v>
      </c>
      <c r="C25" s="54">
        <v>7.84</v>
      </c>
      <c r="D25" s="63">
        <f t="shared" si="1"/>
        <v>0.352</v>
      </c>
    </row>
    <row r="26">
      <c r="A26" s="65"/>
      <c r="B26" s="55">
        <v>33054.0</v>
      </c>
      <c r="C26" s="54">
        <v>8.01</v>
      </c>
      <c r="D26" s="63">
        <f t="shared" si="1"/>
        <v>0.361</v>
      </c>
    </row>
    <row r="27">
      <c r="A27" s="65"/>
      <c r="B27" s="55">
        <v>33146.0</v>
      </c>
      <c r="C27" s="54">
        <v>8.14</v>
      </c>
      <c r="D27" s="63">
        <f t="shared" si="1"/>
        <v>0.368</v>
      </c>
    </row>
    <row r="28">
      <c r="A28" s="65"/>
      <c r="B28" s="53">
        <v>33238.0</v>
      </c>
      <c r="C28" s="54">
        <v>6.46</v>
      </c>
      <c r="D28" s="63">
        <f t="shared" si="1"/>
        <v>0.285</v>
      </c>
    </row>
    <row r="29">
      <c r="A29" s="65"/>
      <c r="B29" s="55">
        <v>33328.0</v>
      </c>
      <c r="C29" s="54">
        <v>5.77</v>
      </c>
      <c r="D29" s="63">
        <f t="shared" si="1"/>
        <v>0.252</v>
      </c>
    </row>
    <row r="30">
      <c r="A30" s="65"/>
      <c r="B30" s="55">
        <v>33419.0</v>
      </c>
      <c r="C30" s="54">
        <v>5.46</v>
      </c>
      <c r="D30" s="63">
        <f t="shared" si="1"/>
        <v>0.237</v>
      </c>
    </row>
    <row r="31">
      <c r="A31" s="65"/>
      <c r="B31" s="55">
        <v>33511.0</v>
      </c>
      <c r="C31" s="54">
        <v>4.56</v>
      </c>
      <c r="D31" s="63">
        <f t="shared" si="1"/>
        <v>0.195</v>
      </c>
    </row>
    <row r="32">
      <c r="A32" s="65"/>
      <c r="B32" s="53">
        <v>33603.0</v>
      </c>
      <c r="C32" s="54">
        <v>3.78</v>
      </c>
      <c r="D32" s="63">
        <f t="shared" si="1"/>
        <v>0.16</v>
      </c>
    </row>
    <row r="33">
      <c r="A33" s="65"/>
      <c r="B33" s="55">
        <v>33694.0</v>
      </c>
      <c r="C33" s="54">
        <v>4.33</v>
      </c>
      <c r="D33" s="63">
        <f t="shared" si="1"/>
        <v>0.185</v>
      </c>
    </row>
    <row r="34">
      <c r="A34" s="65"/>
      <c r="B34" s="55">
        <v>33785.0</v>
      </c>
      <c r="C34" s="54">
        <v>3.76</v>
      </c>
      <c r="D34" s="63">
        <f t="shared" si="1"/>
        <v>0.159</v>
      </c>
    </row>
    <row r="35">
      <c r="A35" s="65"/>
      <c r="B35" s="55">
        <v>33877.0</v>
      </c>
      <c r="C35" s="54">
        <v>4.35</v>
      </c>
      <c r="D35" s="63">
        <f t="shared" si="1"/>
        <v>0.186</v>
      </c>
    </row>
    <row r="36">
      <c r="A36" s="65"/>
      <c r="B36" s="53">
        <v>33969.0</v>
      </c>
      <c r="C36" s="54">
        <v>4.41</v>
      </c>
      <c r="D36" s="63">
        <f t="shared" si="1"/>
        <v>0.188</v>
      </c>
    </row>
    <row r="37">
      <c r="A37" s="65"/>
      <c r="B37" s="55">
        <v>34059.0</v>
      </c>
      <c r="C37" s="54">
        <v>3.36</v>
      </c>
      <c r="D37" s="63">
        <f t="shared" si="1"/>
        <v>0.141</v>
      </c>
    </row>
    <row r="38">
      <c r="A38" s="65"/>
      <c r="B38" s="55">
        <v>34150.0</v>
      </c>
      <c r="C38" s="54">
        <v>3.31</v>
      </c>
      <c r="D38" s="63">
        <f t="shared" si="1"/>
        <v>0.139</v>
      </c>
    </row>
    <row r="39">
      <c r="A39" s="65"/>
      <c r="B39" s="55">
        <v>34242.0</v>
      </c>
      <c r="C39" s="54">
        <v>3.6</v>
      </c>
      <c r="D39" s="63">
        <f t="shared" si="1"/>
        <v>0.152</v>
      </c>
    </row>
    <row r="40">
      <c r="A40" s="65"/>
      <c r="B40" s="53">
        <v>34334.0</v>
      </c>
      <c r="C40" s="54">
        <v>3.11</v>
      </c>
      <c r="D40" s="63">
        <f t="shared" si="1"/>
        <v>0.13</v>
      </c>
    </row>
    <row r="41">
      <c r="A41" s="65"/>
      <c r="B41" s="55">
        <v>34424.0</v>
      </c>
      <c r="C41" s="54">
        <v>3.57</v>
      </c>
      <c r="D41" s="63">
        <f t="shared" si="1"/>
        <v>0.151</v>
      </c>
    </row>
    <row r="42">
      <c r="A42" s="65"/>
      <c r="B42" s="55">
        <v>34515.0</v>
      </c>
      <c r="C42" s="54">
        <v>4.61</v>
      </c>
      <c r="D42" s="63">
        <f t="shared" si="1"/>
        <v>0.198</v>
      </c>
    </row>
    <row r="43">
      <c r="A43" s="65"/>
      <c r="B43" s="55">
        <v>34607.0</v>
      </c>
      <c r="C43" s="54">
        <v>4.83</v>
      </c>
      <c r="D43" s="63">
        <f t="shared" si="1"/>
        <v>0.208</v>
      </c>
    </row>
    <row r="44">
      <c r="A44" s="65"/>
      <c r="B44" s="53">
        <v>34699.0</v>
      </c>
      <c r="C44" s="54">
        <v>4.46</v>
      </c>
      <c r="D44" s="63">
        <f t="shared" si="1"/>
        <v>0.191</v>
      </c>
    </row>
    <row r="45">
      <c r="A45" s="65"/>
      <c r="B45" s="55">
        <v>34789.0</v>
      </c>
      <c r="C45" s="54">
        <v>4.22</v>
      </c>
      <c r="D45" s="63">
        <f t="shared" si="1"/>
        <v>0.18</v>
      </c>
    </row>
    <row r="46">
      <c r="A46" s="65"/>
      <c r="B46" s="55">
        <v>34880.0</v>
      </c>
      <c r="C46" s="54">
        <v>4.22</v>
      </c>
      <c r="D46" s="63">
        <f t="shared" si="1"/>
        <v>0.18</v>
      </c>
    </row>
    <row r="47">
      <c r="A47" s="65"/>
      <c r="B47" s="55">
        <v>34972.0</v>
      </c>
      <c r="C47" s="54">
        <v>3.72</v>
      </c>
      <c r="D47" s="63">
        <f t="shared" si="1"/>
        <v>0.157</v>
      </c>
    </row>
    <row r="48">
      <c r="A48" s="65"/>
      <c r="B48" s="53">
        <v>35064.0</v>
      </c>
      <c r="C48" s="54">
        <v>3.39</v>
      </c>
      <c r="D48" s="63">
        <f t="shared" si="1"/>
        <v>0.143</v>
      </c>
    </row>
    <row r="49">
      <c r="A49" s="65"/>
      <c r="B49" s="55">
        <v>35155.0</v>
      </c>
      <c r="C49" s="54">
        <v>3.83</v>
      </c>
      <c r="D49" s="63">
        <f t="shared" si="1"/>
        <v>0.162</v>
      </c>
    </row>
    <row r="50">
      <c r="A50" s="65"/>
      <c r="B50" s="55">
        <v>35246.0</v>
      </c>
      <c r="C50" s="54">
        <v>3.48</v>
      </c>
      <c r="D50" s="63">
        <f t="shared" si="1"/>
        <v>0.147</v>
      </c>
    </row>
    <row r="51">
      <c r="A51" s="65"/>
      <c r="B51" s="55">
        <v>35338.0</v>
      </c>
      <c r="C51" s="54">
        <v>2.93</v>
      </c>
      <c r="D51" s="63">
        <f t="shared" si="1"/>
        <v>0.122</v>
      </c>
    </row>
    <row r="52">
      <c r="A52" s="65"/>
      <c r="B52" s="53">
        <v>35430.0</v>
      </c>
      <c r="C52" s="54">
        <v>2.91</v>
      </c>
      <c r="D52" s="63">
        <f t="shared" si="1"/>
        <v>0.122</v>
      </c>
    </row>
    <row r="53">
      <c r="A53" s="65"/>
      <c r="B53" s="55">
        <v>35520.0</v>
      </c>
      <c r="C53" s="54">
        <v>3.23</v>
      </c>
      <c r="D53" s="63">
        <f t="shared" si="1"/>
        <v>0.136</v>
      </c>
    </row>
    <row r="54">
      <c r="A54" s="65"/>
      <c r="B54" s="55">
        <v>35611.0</v>
      </c>
      <c r="C54" s="54">
        <v>2.4</v>
      </c>
      <c r="D54" s="63">
        <f t="shared" si="1"/>
        <v>0.1</v>
      </c>
    </row>
    <row r="55">
      <c r="A55" s="65"/>
      <c r="B55" s="55">
        <v>35703.0</v>
      </c>
      <c r="C55" s="54">
        <v>1.86</v>
      </c>
      <c r="D55" s="63">
        <f t="shared" si="1"/>
        <v>0.077</v>
      </c>
    </row>
    <row r="56">
      <c r="A56" s="65"/>
      <c r="B56" s="53">
        <v>35795.0</v>
      </c>
      <c r="C56" s="54">
        <v>1.87</v>
      </c>
      <c r="D56" s="63">
        <f t="shared" si="1"/>
        <v>0.077</v>
      </c>
    </row>
    <row r="57">
      <c r="A57" s="65"/>
      <c r="B57" s="55">
        <v>35885.0</v>
      </c>
      <c r="C57" s="54">
        <v>1.96</v>
      </c>
      <c r="D57" s="63">
        <f t="shared" si="1"/>
        <v>0.081</v>
      </c>
    </row>
    <row r="58">
      <c r="A58" s="65"/>
      <c r="B58" s="55">
        <v>35976.0</v>
      </c>
      <c r="C58" s="54">
        <v>2.08</v>
      </c>
      <c r="D58" s="63">
        <f t="shared" si="1"/>
        <v>0.086</v>
      </c>
    </row>
    <row r="59">
      <c r="A59" s="65"/>
      <c r="B59" s="55">
        <v>36068.0</v>
      </c>
      <c r="C59" s="54">
        <v>1.81</v>
      </c>
      <c r="D59" s="63">
        <f t="shared" si="1"/>
        <v>0.074</v>
      </c>
    </row>
    <row r="60">
      <c r="A60" s="65"/>
      <c r="B60" s="53">
        <v>36160.0</v>
      </c>
      <c r="C60" s="54">
        <v>1.66</v>
      </c>
      <c r="D60" s="63">
        <f t="shared" si="1"/>
        <v>0.068</v>
      </c>
    </row>
    <row r="61">
      <c r="A61" s="65"/>
      <c r="B61" s="55">
        <v>36250.0</v>
      </c>
      <c r="C61" s="54">
        <v>1.95</v>
      </c>
      <c r="D61" s="63">
        <f t="shared" si="1"/>
        <v>0.08</v>
      </c>
    </row>
    <row r="62">
      <c r="A62" s="65"/>
      <c r="B62" s="55">
        <v>36341.0</v>
      </c>
      <c r="C62" s="54">
        <v>2.64</v>
      </c>
      <c r="D62" s="63">
        <f t="shared" si="1"/>
        <v>0.11</v>
      </c>
    </row>
    <row r="63">
      <c r="A63" s="65"/>
      <c r="B63" s="55">
        <v>36433.0</v>
      </c>
      <c r="C63" s="54">
        <v>2.91</v>
      </c>
      <c r="D63" s="63">
        <f t="shared" si="1"/>
        <v>0.122</v>
      </c>
    </row>
    <row r="64">
      <c r="A64" s="65"/>
      <c r="B64" s="53">
        <v>36525.0</v>
      </c>
      <c r="C64" s="54">
        <v>3.42</v>
      </c>
      <c r="D64" s="63">
        <f t="shared" si="1"/>
        <v>0.144</v>
      </c>
    </row>
    <row r="65">
      <c r="A65" s="65"/>
      <c r="B65" s="55">
        <v>36616.0</v>
      </c>
      <c r="C65" s="54">
        <v>2.85</v>
      </c>
      <c r="D65" s="63">
        <f t="shared" si="1"/>
        <v>0.119</v>
      </c>
    </row>
    <row r="66">
      <c r="A66" s="65"/>
      <c r="B66" s="55">
        <v>36707.0</v>
      </c>
      <c r="C66" s="54">
        <v>2.92</v>
      </c>
      <c r="D66" s="63">
        <f t="shared" si="1"/>
        <v>0.122</v>
      </c>
    </row>
    <row r="67">
      <c r="A67" s="65"/>
      <c r="B67" s="55">
        <v>36799.0</v>
      </c>
      <c r="C67" s="54">
        <v>2.9</v>
      </c>
      <c r="D67" s="63">
        <f t="shared" si="1"/>
        <v>0.121</v>
      </c>
    </row>
    <row r="68">
      <c r="A68" s="65"/>
      <c r="B68" s="53">
        <v>36891.0</v>
      </c>
      <c r="C68" s="54">
        <v>2.27</v>
      </c>
      <c r="D68" s="63">
        <f t="shared" si="1"/>
        <v>0.094</v>
      </c>
    </row>
    <row r="69">
      <c r="A69" s="65"/>
      <c r="B69" s="55">
        <v>36981.0</v>
      </c>
      <c r="C69" s="54">
        <v>2.04</v>
      </c>
      <c r="D69" s="63">
        <f t="shared" si="1"/>
        <v>0.084</v>
      </c>
    </row>
    <row r="70">
      <c r="A70" s="65"/>
      <c r="B70" s="55">
        <v>37072.0</v>
      </c>
      <c r="C70" s="54">
        <v>2.58</v>
      </c>
      <c r="D70" s="63">
        <f t="shared" si="1"/>
        <v>0.107</v>
      </c>
    </row>
    <row r="71">
      <c r="A71" s="65"/>
      <c r="B71" s="55">
        <v>37164.0</v>
      </c>
      <c r="C71" s="54">
        <v>2.18</v>
      </c>
      <c r="D71" s="63">
        <f t="shared" si="1"/>
        <v>0.09</v>
      </c>
    </row>
    <row r="72">
      <c r="A72" s="65"/>
      <c r="B72" s="53">
        <v>37256.0</v>
      </c>
      <c r="C72" s="54">
        <v>2.53</v>
      </c>
      <c r="D72" s="63">
        <f t="shared" si="1"/>
        <v>0.105</v>
      </c>
    </row>
    <row r="73">
      <c r="A73" s="65"/>
      <c r="B73" s="55">
        <v>37346.0</v>
      </c>
      <c r="C73" s="54">
        <v>2.82</v>
      </c>
      <c r="D73" s="63">
        <f t="shared" si="1"/>
        <v>0.118</v>
      </c>
    </row>
    <row r="74">
      <c r="A74" s="65"/>
      <c r="B74" s="55">
        <v>37437.0</v>
      </c>
      <c r="C74" s="54">
        <v>2.65</v>
      </c>
      <c r="D74" s="63">
        <f t="shared" si="1"/>
        <v>0.11</v>
      </c>
    </row>
    <row r="75">
      <c r="A75" s="65"/>
      <c r="B75" s="55">
        <v>37529.0</v>
      </c>
      <c r="C75" s="54">
        <v>2.08</v>
      </c>
      <c r="D75" s="63">
        <f t="shared" si="1"/>
        <v>0.086</v>
      </c>
    </row>
    <row r="76">
      <c r="A76" s="65"/>
      <c r="B76" s="53">
        <v>37621.0</v>
      </c>
      <c r="C76" s="54">
        <v>1.99</v>
      </c>
      <c r="D76" s="63">
        <f t="shared" si="1"/>
        <v>0.082</v>
      </c>
    </row>
    <row r="77">
      <c r="A77" s="65"/>
      <c r="B77" s="55">
        <v>37711.0</v>
      </c>
      <c r="C77" s="54">
        <v>2.18</v>
      </c>
      <c r="D77" s="63">
        <f t="shared" si="1"/>
        <v>0.09</v>
      </c>
    </row>
    <row r="78">
      <c r="A78" s="65"/>
      <c r="B78" s="55">
        <v>37802.0</v>
      </c>
      <c r="C78" s="54">
        <v>2.15</v>
      </c>
      <c r="D78" s="63">
        <f t="shared" si="1"/>
        <v>0.089</v>
      </c>
    </row>
    <row r="79">
      <c r="A79" s="65"/>
      <c r="B79" s="55">
        <v>37894.0</v>
      </c>
      <c r="C79" s="54">
        <v>2.11</v>
      </c>
      <c r="D79" s="63">
        <f t="shared" si="1"/>
        <v>0.087</v>
      </c>
    </row>
    <row r="80">
      <c r="A80" s="65"/>
      <c r="B80" s="53">
        <v>37986.0</v>
      </c>
      <c r="C80" s="54">
        <v>2.18</v>
      </c>
      <c r="D80" s="63">
        <f t="shared" si="1"/>
        <v>0.09</v>
      </c>
    </row>
    <row r="81">
      <c r="A81" s="65"/>
      <c r="B81" s="55">
        <v>38077.0</v>
      </c>
      <c r="C81" s="54">
        <v>2.4</v>
      </c>
      <c r="D81" s="63">
        <f t="shared" si="1"/>
        <v>0.1</v>
      </c>
    </row>
    <row r="82">
      <c r="A82" s="65"/>
      <c r="B82" s="55">
        <v>38168.0</v>
      </c>
      <c r="C82" s="54">
        <v>2.66</v>
      </c>
      <c r="D82" s="63">
        <f t="shared" si="1"/>
        <v>0.111</v>
      </c>
    </row>
    <row r="83">
      <c r="A83" s="65"/>
      <c r="B83" s="55">
        <v>38260.0</v>
      </c>
      <c r="C83" s="54">
        <v>2.71</v>
      </c>
      <c r="D83" s="63">
        <f t="shared" si="1"/>
        <v>0.113</v>
      </c>
    </row>
    <row r="84">
      <c r="A84" s="65"/>
      <c r="B84" s="53">
        <v>38352.0</v>
      </c>
      <c r="C84" s="54">
        <v>2.61</v>
      </c>
      <c r="D84" s="63">
        <f t="shared" si="1"/>
        <v>0.109</v>
      </c>
    </row>
    <row r="85">
      <c r="A85" s="65"/>
      <c r="B85" s="55">
        <v>38442.0</v>
      </c>
      <c r="C85" s="54">
        <v>2.9</v>
      </c>
      <c r="D85" s="63">
        <f t="shared" si="1"/>
        <v>0.121</v>
      </c>
    </row>
    <row r="86">
      <c r="A86" s="65"/>
      <c r="B86" s="55">
        <v>38533.0</v>
      </c>
      <c r="C86" s="54">
        <v>2.52</v>
      </c>
      <c r="D86" s="63">
        <f t="shared" si="1"/>
        <v>0.105</v>
      </c>
    </row>
    <row r="87">
      <c r="A87" s="65"/>
      <c r="B87" s="55">
        <v>38625.0</v>
      </c>
      <c r="C87" s="54">
        <v>2.83</v>
      </c>
      <c r="D87" s="63">
        <f t="shared" si="1"/>
        <v>0.118</v>
      </c>
    </row>
    <row r="88">
      <c r="A88" s="65"/>
      <c r="B88" s="53">
        <v>38717.0</v>
      </c>
      <c r="C88" s="54">
        <v>3.02</v>
      </c>
      <c r="D88" s="63">
        <f t="shared" si="1"/>
        <v>0.126</v>
      </c>
    </row>
    <row r="89">
      <c r="A89" s="65"/>
      <c r="B89" s="55">
        <v>38807.0</v>
      </c>
      <c r="C89" s="54">
        <v>3.16</v>
      </c>
      <c r="D89" s="63">
        <f t="shared" si="1"/>
        <v>0.133</v>
      </c>
    </row>
    <row r="90">
      <c r="A90" s="65"/>
      <c r="B90" s="55">
        <v>38898.0</v>
      </c>
      <c r="C90" s="54">
        <v>3.31</v>
      </c>
      <c r="D90" s="63">
        <f t="shared" si="1"/>
        <v>0.139</v>
      </c>
    </row>
    <row r="91">
      <c r="A91" s="65"/>
      <c r="B91" s="55">
        <v>38990.0</v>
      </c>
      <c r="C91" s="54">
        <v>3.29</v>
      </c>
      <c r="D91" s="63">
        <f t="shared" si="1"/>
        <v>0.138</v>
      </c>
    </row>
    <row r="92">
      <c r="A92" s="65"/>
      <c r="B92" s="53">
        <v>39082.0</v>
      </c>
      <c r="C92" s="54">
        <v>3.16</v>
      </c>
      <c r="D92" s="63">
        <f t="shared" si="1"/>
        <v>0.133</v>
      </c>
    </row>
    <row r="93">
      <c r="A93" s="65"/>
      <c r="B93" s="55">
        <v>39172.0</v>
      </c>
      <c r="C93" s="54">
        <v>3.27</v>
      </c>
      <c r="D93" s="63">
        <f t="shared" si="1"/>
        <v>0.137</v>
      </c>
    </row>
    <row r="94">
      <c r="A94" s="65"/>
      <c r="B94" s="55">
        <v>39263.0</v>
      </c>
      <c r="C94" s="54">
        <v>3.42</v>
      </c>
      <c r="D94" s="63">
        <f t="shared" si="1"/>
        <v>0.144</v>
      </c>
    </row>
    <row r="95">
      <c r="A95" s="65"/>
      <c r="B95" s="55">
        <v>39355.0</v>
      </c>
      <c r="C95" s="54">
        <v>3.46</v>
      </c>
      <c r="D95" s="63">
        <f t="shared" si="1"/>
        <v>0.146</v>
      </c>
    </row>
    <row r="96">
      <c r="A96" s="65"/>
      <c r="B96" s="53">
        <v>39447.0</v>
      </c>
      <c r="C96" s="54">
        <v>3.53</v>
      </c>
      <c r="D96" s="63">
        <f t="shared" si="1"/>
        <v>0.149</v>
      </c>
    </row>
    <row r="97">
      <c r="A97" s="65"/>
      <c r="B97" s="55">
        <v>39538.0</v>
      </c>
      <c r="C97" s="54">
        <v>3.53</v>
      </c>
      <c r="D97" s="63">
        <f t="shared" si="1"/>
        <v>0.149</v>
      </c>
    </row>
    <row r="98">
      <c r="A98" s="65"/>
      <c r="B98" s="55">
        <v>39629.0</v>
      </c>
      <c r="C98" s="54">
        <v>3.88</v>
      </c>
      <c r="D98" s="63">
        <f t="shared" si="1"/>
        <v>0.164</v>
      </c>
    </row>
    <row r="99">
      <c r="A99" s="42"/>
      <c r="B99" s="55">
        <v>39721.0</v>
      </c>
      <c r="C99" s="54">
        <v>3.4</v>
      </c>
      <c r="D99" s="63">
        <f t="shared" si="1"/>
        <v>0.143</v>
      </c>
    </row>
    <row r="100">
      <c r="A100" s="42"/>
      <c r="B100" s="53">
        <v>39813.0</v>
      </c>
      <c r="C100" s="54">
        <v>1.5</v>
      </c>
      <c r="D100" s="63">
        <f t="shared" si="1"/>
        <v>0.061</v>
      </c>
    </row>
    <row r="101">
      <c r="A101" s="42"/>
      <c r="B101" s="55">
        <v>39903.0</v>
      </c>
      <c r="C101" s="54">
        <v>2.19</v>
      </c>
      <c r="D101" s="63">
        <f t="shared" si="1"/>
        <v>0.091</v>
      </c>
    </row>
    <row r="102">
      <c r="A102" s="42"/>
      <c r="B102" s="55">
        <v>39994.0</v>
      </c>
      <c r="C102" s="54">
        <v>2.5</v>
      </c>
      <c r="D102" s="63">
        <f t="shared" si="1"/>
        <v>0.104</v>
      </c>
    </row>
    <row r="103">
      <c r="A103" s="42"/>
      <c r="B103" s="55">
        <v>40086.0</v>
      </c>
      <c r="C103" s="54">
        <v>2.39</v>
      </c>
      <c r="D103" s="63">
        <f t="shared" si="1"/>
        <v>0.099</v>
      </c>
    </row>
    <row r="104">
      <c r="A104" s="42"/>
      <c r="B104" s="53">
        <v>40178.0</v>
      </c>
      <c r="C104" s="54">
        <v>2.82</v>
      </c>
      <c r="D104" s="63">
        <f t="shared" si="1"/>
        <v>0.118</v>
      </c>
    </row>
    <row r="105">
      <c r="A105" s="42"/>
      <c r="B105" s="55">
        <v>40268.0</v>
      </c>
      <c r="C105" s="54">
        <v>2.98</v>
      </c>
      <c r="D105" s="63">
        <f t="shared" si="1"/>
        <v>0.125</v>
      </c>
    </row>
    <row r="106">
      <c r="A106" s="42"/>
      <c r="B106" s="55">
        <v>40359.0</v>
      </c>
      <c r="C106" s="54">
        <v>2.59</v>
      </c>
      <c r="D106" s="63">
        <f t="shared" si="1"/>
        <v>0.108</v>
      </c>
    </row>
    <row r="107">
      <c r="A107" s="42"/>
      <c r="B107" s="55">
        <v>40451.0</v>
      </c>
      <c r="C107" s="54">
        <v>2.66</v>
      </c>
      <c r="D107" s="63">
        <f t="shared" si="1"/>
        <v>0.111</v>
      </c>
    </row>
    <row r="108">
      <c r="A108" s="42"/>
      <c r="B108" s="53">
        <v>40543.0</v>
      </c>
      <c r="C108" s="54">
        <v>2.88</v>
      </c>
      <c r="D108" s="63">
        <f t="shared" si="1"/>
        <v>0.12</v>
      </c>
    </row>
    <row r="109">
      <c r="A109" s="42"/>
      <c r="B109" s="55">
        <v>40633.0</v>
      </c>
      <c r="C109" s="54">
        <v>2.93</v>
      </c>
      <c r="D109" s="63">
        <f t="shared" si="1"/>
        <v>0.122</v>
      </c>
    </row>
    <row r="110">
      <c r="A110" s="42"/>
      <c r="B110" s="55">
        <v>40724.0</v>
      </c>
      <c r="C110" s="54">
        <v>2.87</v>
      </c>
      <c r="D110" s="63">
        <f t="shared" si="1"/>
        <v>0.12</v>
      </c>
    </row>
    <row r="111">
      <c r="A111" s="42"/>
      <c r="B111" s="55">
        <v>40816.0</v>
      </c>
      <c r="C111" s="54">
        <v>2.6</v>
      </c>
      <c r="D111" s="63">
        <f t="shared" si="1"/>
        <v>0.108</v>
      </c>
    </row>
    <row r="112">
      <c r="A112" s="42"/>
      <c r="B112" s="53">
        <v>40908.0</v>
      </c>
      <c r="C112" s="54">
        <v>2.54</v>
      </c>
      <c r="D112" s="63">
        <f t="shared" si="1"/>
        <v>0.106</v>
      </c>
    </row>
    <row r="113">
      <c r="A113" s="42"/>
      <c r="B113" s="55">
        <v>40999.0</v>
      </c>
      <c r="C113" s="54">
        <v>2.84</v>
      </c>
      <c r="D113" s="63">
        <f t="shared" si="1"/>
        <v>0.119</v>
      </c>
    </row>
    <row r="114">
      <c r="A114" s="42"/>
      <c r="B114" s="55">
        <v>41090.0</v>
      </c>
      <c r="C114" s="54">
        <v>2.41</v>
      </c>
      <c r="D114" s="63">
        <f t="shared" si="1"/>
        <v>0.1</v>
      </c>
    </row>
    <row r="115">
      <c r="A115" s="42"/>
      <c r="B115" s="55">
        <v>41182.0</v>
      </c>
      <c r="C115" s="54">
        <v>2.52</v>
      </c>
      <c r="D115" s="63">
        <f t="shared" si="1"/>
        <v>0.105</v>
      </c>
    </row>
    <row r="116">
      <c r="A116" s="42"/>
      <c r="B116" s="53">
        <v>41274.0</v>
      </c>
      <c r="C116" s="54">
        <v>2.62</v>
      </c>
      <c r="D116" s="63">
        <f t="shared" si="1"/>
        <v>0.109</v>
      </c>
    </row>
    <row r="117">
      <c r="A117" s="42"/>
      <c r="B117" s="55">
        <v>41364.0</v>
      </c>
      <c r="C117" s="54">
        <v>2.72</v>
      </c>
      <c r="D117" s="63">
        <f t="shared" si="1"/>
        <v>0.113</v>
      </c>
    </row>
    <row r="118">
      <c r="A118" s="42"/>
      <c r="B118" s="55">
        <v>41455.0</v>
      </c>
      <c r="C118" s="54">
        <v>2.37</v>
      </c>
      <c r="D118" s="63">
        <f t="shared" si="1"/>
        <v>0.098</v>
      </c>
    </row>
    <row r="119">
      <c r="A119" s="42"/>
      <c r="B119" s="55">
        <v>41547.0</v>
      </c>
      <c r="C119" s="54">
        <v>2.42</v>
      </c>
      <c r="D119" s="63">
        <f t="shared" si="1"/>
        <v>0.1</v>
      </c>
    </row>
    <row r="120">
      <c r="A120" s="42"/>
      <c r="B120" s="53">
        <v>41639.0</v>
      </c>
      <c r="C120" s="54">
        <v>2.63</v>
      </c>
      <c r="D120" s="63">
        <f t="shared" si="1"/>
        <v>0.109</v>
      </c>
    </row>
    <row r="121">
      <c r="A121" s="42"/>
      <c r="B121" s="55">
        <v>41729.0</v>
      </c>
      <c r="C121" s="54">
        <v>2.56</v>
      </c>
      <c r="D121" s="63">
        <f t="shared" si="1"/>
        <v>0.106</v>
      </c>
    </row>
    <row r="122">
      <c r="A122" s="42"/>
      <c r="B122" s="55">
        <v>41820.0</v>
      </c>
      <c r="C122" s="54">
        <v>2.52</v>
      </c>
      <c r="D122" s="63">
        <f t="shared" si="1"/>
        <v>0.105</v>
      </c>
    </row>
    <row r="123">
      <c r="A123" s="42"/>
      <c r="B123" s="55">
        <v>41912.0</v>
      </c>
      <c r="C123" s="54">
        <v>2.43</v>
      </c>
      <c r="D123" s="63">
        <f t="shared" si="1"/>
        <v>0.101</v>
      </c>
    </row>
    <row r="124">
      <c r="A124" s="42"/>
      <c r="B124" s="53">
        <v>42004.0</v>
      </c>
      <c r="C124" s="54">
        <v>2.26</v>
      </c>
      <c r="D124" s="63">
        <f t="shared" si="1"/>
        <v>0.094</v>
      </c>
    </row>
    <row r="125">
      <c r="A125" s="42"/>
      <c r="B125" s="55">
        <v>42094.0</v>
      </c>
      <c r="C125" s="54">
        <v>2.24</v>
      </c>
      <c r="D125" s="63">
        <f t="shared" si="1"/>
        <v>0.093</v>
      </c>
    </row>
    <row r="126">
      <c r="A126" s="42"/>
      <c r="B126" s="55">
        <v>42185.0</v>
      </c>
      <c r="C126" s="54">
        <v>2.32</v>
      </c>
      <c r="D126" s="63">
        <f t="shared" si="1"/>
        <v>0.096</v>
      </c>
    </row>
    <row r="127">
      <c r="A127" s="42"/>
      <c r="B127" s="55">
        <v>42277.0</v>
      </c>
      <c r="C127" s="54">
        <v>2.16</v>
      </c>
      <c r="D127" s="63">
        <f t="shared" si="1"/>
        <v>0.089</v>
      </c>
    </row>
    <row r="128">
      <c r="A128" s="42"/>
      <c r="B128" s="53">
        <v>42369.0</v>
      </c>
      <c r="C128" s="54">
        <v>2.23</v>
      </c>
      <c r="D128" s="63">
        <f t="shared" si="1"/>
        <v>0.092</v>
      </c>
    </row>
    <row r="129">
      <c r="A129" s="42"/>
      <c r="B129" s="55">
        <v>42460.0</v>
      </c>
      <c r="C129" s="54">
        <v>1.99</v>
      </c>
      <c r="D129" s="63">
        <f t="shared" si="1"/>
        <v>0.082</v>
      </c>
    </row>
    <row r="130">
      <c r="A130" s="42"/>
      <c r="B130" s="55">
        <v>42551.0</v>
      </c>
      <c r="C130" s="54">
        <v>1.57</v>
      </c>
      <c r="D130" s="63">
        <f t="shared" si="1"/>
        <v>0.064</v>
      </c>
    </row>
    <row r="131">
      <c r="A131" s="42"/>
      <c r="B131" s="55">
        <v>42643.0</v>
      </c>
      <c r="C131" s="54">
        <v>1.56</v>
      </c>
      <c r="D131" s="63">
        <f t="shared" si="1"/>
        <v>0.064</v>
      </c>
    </row>
    <row r="132">
      <c r="A132" s="42"/>
      <c r="B132" s="53">
        <v>42735.0</v>
      </c>
      <c r="C132" s="54">
        <v>1.96</v>
      </c>
      <c r="D132" s="63">
        <f t="shared" si="1"/>
        <v>0.081</v>
      </c>
    </row>
    <row r="133">
      <c r="A133" s="42"/>
      <c r="B133" s="55">
        <v>42825.0</v>
      </c>
      <c r="C133" s="54">
        <v>1.96</v>
      </c>
      <c r="D133" s="63">
        <f t="shared" si="1"/>
        <v>0.081</v>
      </c>
    </row>
    <row r="134">
      <c r="A134" s="42"/>
      <c r="B134" s="55">
        <v>42916.0</v>
      </c>
      <c r="C134" s="54">
        <v>1.86</v>
      </c>
      <c r="D134" s="63">
        <f t="shared" si="1"/>
        <v>0.077</v>
      </c>
    </row>
    <row r="135">
      <c r="A135" s="42"/>
      <c r="B135" s="55">
        <v>43008.0</v>
      </c>
      <c r="C135" s="54">
        <v>1.82</v>
      </c>
      <c r="D135" s="63">
        <f t="shared" si="1"/>
        <v>0.075</v>
      </c>
    </row>
    <row r="136">
      <c r="A136" s="42"/>
      <c r="B136" s="53">
        <v>43100.0</v>
      </c>
      <c r="C136" s="54">
        <v>1.9</v>
      </c>
      <c r="D136" s="63">
        <f t="shared" si="1"/>
        <v>0.078</v>
      </c>
    </row>
    <row r="137">
      <c r="A137" s="42"/>
      <c r="B137" s="55">
        <v>43190.0</v>
      </c>
      <c r="C137" s="54">
        <v>1.93</v>
      </c>
      <c r="D137" s="63">
        <f t="shared" si="1"/>
        <v>0.079</v>
      </c>
    </row>
    <row r="138">
      <c r="A138" s="42"/>
      <c r="B138" s="55">
        <v>43281.0</v>
      </c>
      <c r="C138" s="54">
        <v>1.98</v>
      </c>
      <c r="D138" s="63">
        <f t="shared" si="1"/>
        <v>0.082</v>
      </c>
    </row>
    <row r="139">
      <c r="A139" s="42"/>
      <c r="B139" s="55">
        <v>43373.0</v>
      </c>
      <c r="C139" s="54">
        <v>1.86</v>
      </c>
      <c r="D139" s="63">
        <f t="shared" si="1"/>
        <v>0.077</v>
      </c>
    </row>
    <row r="140">
      <c r="A140" s="42"/>
      <c r="B140" s="53">
        <v>43465.0</v>
      </c>
      <c r="C140" s="54">
        <v>1.64</v>
      </c>
      <c r="D140" s="63">
        <f t="shared" si="1"/>
        <v>0.067</v>
      </c>
    </row>
    <row r="141">
      <c r="A141" s="42"/>
      <c r="B141" s="55">
        <v>43555.0</v>
      </c>
      <c r="C141" s="54">
        <v>1.44</v>
      </c>
      <c r="D141" s="63">
        <f t="shared" si="1"/>
        <v>0.059</v>
      </c>
    </row>
    <row r="142">
      <c r="A142" s="42"/>
      <c r="B142" s="55">
        <v>43646.0</v>
      </c>
      <c r="C142" s="54">
        <v>1.36</v>
      </c>
      <c r="D142" s="63">
        <f t="shared" si="1"/>
        <v>0.056</v>
      </c>
    </row>
    <row r="143">
      <c r="A143" s="42"/>
      <c r="B143" s="55">
        <v>43738.0</v>
      </c>
      <c r="C143" s="54">
        <v>1.25</v>
      </c>
      <c r="D143" s="63">
        <f t="shared" si="1"/>
        <v>0.051</v>
      </c>
    </row>
    <row r="144">
      <c r="A144" s="42"/>
      <c r="B144" s="53">
        <v>43830.0</v>
      </c>
      <c r="C144" s="54">
        <v>1.42</v>
      </c>
      <c r="D144" s="63">
        <f t="shared" si="1"/>
        <v>0.058</v>
      </c>
    </row>
    <row r="145">
      <c r="A145" s="42"/>
      <c r="B145" s="55">
        <v>43921.0</v>
      </c>
      <c r="C145" s="54">
        <v>0.65</v>
      </c>
      <c r="D145" s="63">
        <f t="shared" si="1"/>
        <v>0.026</v>
      </c>
    </row>
    <row r="146">
      <c r="A146" s="42"/>
      <c r="B146" s="55">
        <v>44012.0</v>
      </c>
      <c r="C146" s="54">
        <v>1.03</v>
      </c>
      <c r="D146" s="63">
        <f t="shared" si="1"/>
        <v>0.042</v>
      </c>
    </row>
    <row r="147">
      <c r="A147" s="42"/>
      <c r="B147" s="55">
        <v>44104.0</v>
      </c>
      <c r="C147" s="54">
        <v>1.33</v>
      </c>
      <c r="D147" s="63">
        <f t="shared" si="1"/>
        <v>0.054</v>
      </c>
    </row>
    <row r="148">
      <c r="A148" s="42"/>
      <c r="B148" s="53">
        <v>44196.0</v>
      </c>
      <c r="C148" s="54">
        <v>1.77</v>
      </c>
      <c r="D148" s="63">
        <f t="shared" si="1"/>
        <v>0.073</v>
      </c>
    </row>
    <row r="149">
      <c r="A149" s="42"/>
      <c r="B149" s="55">
        <v>44286.0</v>
      </c>
      <c r="C149" s="54">
        <v>2.06</v>
      </c>
      <c r="D149" s="63">
        <f t="shared" si="1"/>
        <v>0.085</v>
      </c>
    </row>
    <row r="150">
      <c r="A150" s="42"/>
      <c r="B150" s="55">
        <v>44377.0</v>
      </c>
      <c r="C150" s="54">
        <v>2.04</v>
      </c>
      <c r="D150" s="63">
        <f t="shared" si="1"/>
        <v>0.084</v>
      </c>
    </row>
    <row r="151">
      <c r="A151" s="42"/>
      <c r="B151" s="55">
        <v>44469.0</v>
      </c>
      <c r="C151" s="54">
        <v>1.92</v>
      </c>
      <c r="D151" s="63">
        <f t="shared" si="1"/>
        <v>0.079</v>
      </c>
    </row>
    <row r="152">
      <c r="A152" s="42"/>
      <c r="B152" s="53">
        <v>44561.0</v>
      </c>
      <c r="C152" s="54">
        <v>2.3</v>
      </c>
      <c r="D152" s="63">
        <f t="shared" si="1"/>
        <v>0.095</v>
      </c>
    </row>
    <row r="153">
      <c r="A153" s="42"/>
      <c r="B153" s="55">
        <v>44651.0</v>
      </c>
      <c r="C153" s="54">
        <v>2.54</v>
      </c>
      <c r="D153" s="63">
        <f t="shared" si="1"/>
        <v>0.106</v>
      </c>
    </row>
    <row r="154">
      <c r="A154" s="42"/>
      <c r="B154" s="55">
        <v>44742.0</v>
      </c>
      <c r="C154" s="54">
        <v>2.3</v>
      </c>
      <c r="D154" s="63">
        <f t="shared" si="1"/>
        <v>0.095</v>
      </c>
    </row>
    <row r="155">
      <c r="A155" s="42"/>
      <c r="B155" s="55">
        <v>44834.0</v>
      </c>
      <c r="C155" s="54">
        <v>2.18</v>
      </c>
      <c r="D155" s="63">
        <f t="shared" si="1"/>
        <v>0.09</v>
      </c>
    </row>
    <row r="156">
      <c r="A156" s="42"/>
      <c r="B156" s="53">
        <v>44926.0</v>
      </c>
      <c r="C156" s="54">
        <v>2.43</v>
      </c>
      <c r="D156" s="63">
        <f t="shared" si="1"/>
        <v>0.101</v>
      </c>
    </row>
    <row r="157">
      <c r="A157" s="42"/>
      <c r="B157" s="55">
        <v>45016.0</v>
      </c>
      <c r="C157" s="54">
        <v>2.33</v>
      </c>
      <c r="D157" s="63">
        <f t="shared" si="1"/>
        <v>0.097</v>
      </c>
    </row>
    <row r="158">
      <c r="A158" s="42"/>
      <c r="B158" s="55">
        <v>45107.0</v>
      </c>
      <c r="C158" s="54">
        <v>2.43</v>
      </c>
      <c r="D158" s="63">
        <f t="shared" si="1"/>
        <v>0.101</v>
      </c>
    </row>
    <row r="159">
      <c r="A159" s="42"/>
      <c r="B159" s="55">
        <v>45199.0</v>
      </c>
      <c r="C159" s="54">
        <v>2.54</v>
      </c>
      <c r="D159" s="63">
        <f t="shared" si="1"/>
        <v>0.106</v>
      </c>
    </row>
    <row r="160">
      <c r="A160" s="42"/>
      <c r="B160" s="53">
        <v>45291.0</v>
      </c>
      <c r="C160" s="54">
        <v>2.57</v>
      </c>
      <c r="D160" s="63">
        <f t="shared" si="1"/>
        <v>0.107</v>
      </c>
    </row>
    <row r="161">
      <c r="A161" s="42"/>
      <c r="B161" s="55">
        <v>45382.0</v>
      </c>
      <c r="C161" s="54">
        <v>2.45</v>
      </c>
      <c r="D161" s="63">
        <f t="shared" si="1"/>
        <v>0.102</v>
      </c>
    </row>
    <row r="162">
      <c r="A162" s="42"/>
      <c r="B162" s="55">
        <v>45473.0</v>
      </c>
      <c r="C162" s="54">
        <v>2.42</v>
      </c>
      <c r="D162" s="63">
        <f t="shared" si="1"/>
        <v>0.1</v>
      </c>
    </row>
    <row r="163">
      <c r="A163" s="42"/>
      <c r="B163" s="55">
        <v>45565.0</v>
      </c>
      <c r="C163" s="54">
        <v>2.34</v>
      </c>
      <c r="D163" s="63">
        <f t="shared" si="1"/>
        <v>0.097</v>
      </c>
    </row>
    <row r="164">
      <c r="A164" s="42"/>
      <c r="B164" s="42"/>
      <c r="C164" s="42"/>
      <c r="D164" s="42"/>
    </row>
    <row r="165">
      <c r="A165" s="42"/>
      <c r="B165" s="42"/>
      <c r="C165" s="42"/>
      <c r="D165" s="42"/>
    </row>
    <row r="166">
      <c r="A166" s="42"/>
      <c r="B166" s="42"/>
      <c r="C166" s="42"/>
      <c r="D166" s="42"/>
    </row>
    <row r="167">
      <c r="A167" s="42"/>
      <c r="B167" s="42"/>
      <c r="C167" s="42"/>
      <c r="D167" s="42"/>
    </row>
    <row r="168">
      <c r="A168" s="42"/>
      <c r="B168" s="42"/>
      <c r="C168" s="42"/>
      <c r="D168" s="42"/>
    </row>
    <row r="169">
      <c r="A169" s="42"/>
      <c r="B169" s="42"/>
      <c r="C169" s="42"/>
      <c r="D169" s="42"/>
    </row>
    <row r="170">
      <c r="A170" s="42"/>
      <c r="B170" s="42"/>
      <c r="C170" s="42"/>
      <c r="D170" s="42"/>
    </row>
    <row r="171">
      <c r="A171" s="42"/>
      <c r="B171" s="42"/>
      <c r="C171" s="42"/>
      <c r="D171" s="42"/>
    </row>
    <row r="172">
      <c r="A172" s="42"/>
      <c r="B172" s="42"/>
      <c r="C172" s="42"/>
      <c r="D172" s="42"/>
    </row>
    <row r="173">
      <c r="A173" s="42"/>
      <c r="B173" s="42"/>
      <c r="C173" s="42"/>
      <c r="D173" s="42"/>
    </row>
    <row r="174">
      <c r="A174" s="42"/>
      <c r="B174" s="42"/>
      <c r="C174" s="42"/>
      <c r="D174" s="42"/>
    </row>
    <row r="175">
      <c r="A175" s="42"/>
      <c r="B175" s="42"/>
      <c r="C175" s="42"/>
      <c r="D175" s="42"/>
    </row>
    <row r="176">
      <c r="A176" s="42"/>
      <c r="B176" s="42"/>
      <c r="C176" s="42"/>
      <c r="D176" s="42"/>
    </row>
    <row r="177">
      <c r="A177" s="42"/>
      <c r="B177" s="42"/>
      <c r="C177" s="42"/>
      <c r="D177" s="42"/>
    </row>
    <row r="178">
      <c r="A178" s="42"/>
      <c r="B178" s="42"/>
      <c r="C178" s="42"/>
      <c r="D178" s="42"/>
    </row>
    <row r="179">
      <c r="A179" s="42"/>
      <c r="B179" s="42"/>
      <c r="C179" s="42"/>
      <c r="D179" s="42"/>
    </row>
    <row r="180">
      <c r="A180" s="42"/>
      <c r="B180" s="42"/>
      <c r="C180" s="42"/>
      <c r="D180" s="42"/>
    </row>
    <row r="181">
      <c r="A181" s="42"/>
      <c r="B181" s="42"/>
      <c r="C181" s="42"/>
      <c r="D181" s="42"/>
    </row>
    <row r="182">
      <c r="A182" s="42"/>
      <c r="B182" s="42"/>
      <c r="C182" s="42"/>
      <c r="D182" s="42"/>
    </row>
    <row r="183">
      <c r="A183" s="42"/>
      <c r="B183" s="42"/>
      <c r="C183" s="42"/>
      <c r="D183" s="42"/>
    </row>
    <row r="184">
      <c r="A184" s="42"/>
      <c r="B184" s="42"/>
      <c r="C184" s="42"/>
      <c r="D184" s="42"/>
    </row>
    <row r="185">
      <c r="A185" s="42"/>
      <c r="B185" s="42"/>
      <c r="C185" s="42"/>
      <c r="D185" s="42"/>
    </row>
    <row r="186">
      <c r="A186" s="42"/>
      <c r="B186" s="42"/>
      <c r="C186" s="42"/>
      <c r="D186" s="42"/>
    </row>
    <row r="187">
      <c r="A187" s="42"/>
      <c r="B187" s="42"/>
      <c r="C187" s="42"/>
      <c r="D187" s="42"/>
    </row>
    <row r="188">
      <c r="A188" s="42"/>
      <c r="B188" s="42"/>
      <c r="C188" s="42"/>
      <c r="D188" s="42"/>
    </row>
    <row r="189">
      <c r="A189" s="42"/>
      <c r="B189" s="42"/>
      <c r="C189" s="42"/>
      <c r="D189" s="42"/>
    </row>
    <row r="190">
      <c r="A190" s="42"/>
      <c r="B190" s="42"/>
      <c r="C190" s="42"/>
      <c r="D190" s="42"/>
    </row>
    <row r="191">
      <c r="A191" s="42"/>
      <c r="B191" s="42"/>
      <c r="C191" s="42"/>
      <c r="D191" s="42"/>
    </row>
    <row r="192">
      <c r="A192" s="42"/>
      <c r="B192" s="42"/>
      <c r="C192" s="42"/>
      <c r="D192" s="42"/>
    </row>
    <row r="193">
      <c r="A193" s="42"/>
      <c r="B193" s="42"/>
      <c r="C193" s="42"/>
      <c r="D193" s="42"/>
    </row>
    <row r="194">
      <c r="A194" s="42"/>
      <c r="B194" s="42"/>
      <c r="C194" s="42"/>
      <c r="D194" s="42"/>
    </row>
    <row r="195">
      <c r="A195" s="42"/>
      <c r="B195" s="42"/>
      <c r="C195" s="42"/>
      <c r="D195" s="42"/>
    </row>
    <row r="196">
      <c r="A196" s="42"/>
      <c r="B196" s="42"/>
      <c r="C196" s="42"/>
      <c r="D196" s="42"/>
    </row>
    <row r="197">
      <c r="A197" s="42"/>
      <c r="B197" s="42"/>
      <c r="C197" s="42"/>
      <c r="D197" s="42"/>
    </row>
    <row r="198">
      <c r="A198" s="42"/>
      <c r="B198" s="42"/>
      <c r="C198" s="42"/>
      <c r="D198" s="42"/>
    </row>
    <row r="199">
      <c r="A199" s="42"/>
      <c r="B199" s="42"/>
      <c r="C199" s="42"/>
      <c r="D199" s="42"/>
    </row>
    <row r="200">
      <c r="A200" s="42"/>
      <c r="B200" s="42"/>
      <c r="C200" s="42"/>
      <c r="D200" s="42"/>
    </row>
    <row r="201">
      <c r="A201" s="42"/>
      <c r="B201" s="42"/>
      <c r="C201" s="42"/>
      <c r="D201" s="42"/>
    </row>
    <row r="202">
      <c r="A202" s="42"/>
      <c r="B202" s="42"/>
      <c r="C202" s="42"/>
      <c r="D202" s="42"/>
    </row>
    <row r="203">
      <c r="A203" s="42"/>
      <c r="B203" s="42"/>
      <c r="C203" s="42"/>
      <c r="D203" s="42"/>
    </row>
    <row r="204">
      <c r="A204" s="42"/>
      <c r="B204" s="42"/>
      <c r="C204" s="42"/>
      <c r="D204" s="42"/>
    </row>
    <row r="205">
      <c r="A205" s="42"/>
      <c r="B205" s="42"/>
      <c r="C205" s="42"/>
      <c r="D205" s="42"/>
    </row>
    <row r="206">
      <c r="A206" s="42"/>
      <c r="B206" s="42"/>
      <c r="C206" s="42"/>
      <c r="D206" s="42"/>
    </row>
    <row r="207">
      <c r="A207" s="42"/>
      <c r="B207" s="42"/>
      <c r="C207" s="42"/>
      <c r="D207" s="42"/>
    </row>
    <row r="208">
      <c r="A208" s="42"/>
      <c r="B208" s="42"/>
      <c r="C208" s="42"/>
      <c r="D208" s="42"/>
    </row>
    <row r="209">
      <c r="A209" s="42"/>
      <c r="B209" s="42"/>
      <c r="C209" s="42"/>
      <c r="D209" s="42"/>
    </row>
    <row r="210">
      <c r="A210" s="42"/>
      <c r="B210" s="42"/>
      <c r="C210" s="42"/>
      <c r="D210" s="42"/>
    </row>
    <row r="211">
      <c r="A211" s="50"/>
      <c r="B211" s="50"/>
      <c r="C211" s="45"/>
    </row>
    <row r="212">
      <c r="A212" s="50"/>
      <c r="B212" s="50"/>
      <c r="C212" s="45"/>
    </row>
    <row r="213">
      <c r="A213" s="50"/>
      <c r="B213" s="50"/>
      <c r="C213" s="45"/>
    </row>
    <row r="214">
      <c r="A214" s="50"/>
      <c r="B214" s="50"/>
      <c r="C214" s="45"/>
    </row>
    <row r="215">
      <c r="A215" s="50"/>
      <c r="B215" s="50"/>
      <c r="C215" s="45"/>
    </row>
    <row r="216">
      <c r="A216" s="50"/>
      <c r="B216" s="50"/>
      <c r="C216" s="45"/>
    </row>
    <row r="217">
      <c r="A217" s="50"/>
      <c r="B217" s="50"/>
      <c r="C217" s="45"/>
    </row>
    <row r="218">
      <c r="A218" s="50"/>
      <c r="B218" s="50"/>
      <c r="C218" s="45"/>
    </row>
    <row r="219">
      <c r="A219" s="50"/>
      <c r="B219" s="50"/>
      <c r="C219" s="45"/>
    </row>
    <row r="220">
      <c r="A220" s="50"/>
      <c r="B220" s="50"/>
      <c r="C220" s="45"/>
    </row>
    <row r="221">
      <c r="A221" s="50"/>
      <c r="B221" s="50"/>
      <c r="C221" s="45"/>
    </row>
    <row r="222">
      <c r="A222" s="50"/>
      <c r="B222" s="50"/>
      <c r="C222" s="45"/>
    </row>
    <row r="223">
      <c r="A223" s="50"/>
      <c r="B223" s="50"/>
      <c r="C223" s="45"/>
    </row>
    <row r="224">
      <c r="A224" s="50"/>
      <c r="B224" s="50"/>
      <c r="C224" s="45"/>
    </row>
    <row r="225">
      <c r="A225" s="50"/>
      <c r="B225" s="50"/>
      <c r="C225" s="45"/>
    </row>
    <row r="226">
      <c r="A226" s="50"/>
      <c r="B226" s="50"/>
      <c r="C226" s="45"/>
    </row>
    <row r="227">
      <c r="A227" s="50"/>
      <c r="B227" s="50"/>
      <c r="C227" s="45"/>
    </row>
    <row r="228">
      <c r="A228" s="50"/>
      <c r="B228" s="50"/>
      <c r="C228" s="45"/>
    </row>
    <row r="229">
      <c r="A229" s="50"/>
      <c r="B229" s="50"/>
      <c r="C229" s="45"/>
    </row>
    <row r="230">
      <c r="A230" s="50"/>
      <c r="B230" s="50"/>
      <c r="C230" s="45"/>
    </row>
    <row r="231">
      <c r="A231" s="50"/>
      <c r="B231" s="50"/>
      <c r="C231" s="45"/>
    </row>
    <row r="232">
      <c r="A232" s="50"/>
      <c r="B232" s="50"/>
      <c r="C232" s="45"/>
    </row>
    <row r="233">
      <c r="A233" s="50"/>
      <c r="B233" s="50"/>
      <c r="C233" s="45"/>
    </row>
    <row r="234">
      <c r="A234" s="50"/>
      <c r="B234" s="50"/>
      <c r="C234" s="45"/>
    </row>
    <row r="235">
      <c r="A235" s="50"/>
      <c r="B235" s="50"/>
      <c r="C235" s="45"/>
    </row>
    <row r="236">
      <c r="A236" s="50"/>
      <c r="B236" s="50"/>
      <c r="C236" s="45"/>
    </row>
    <row r="237">
      <c r="A237" s="50"/>
      <c r="B237" s="50"/>
      <c r="C237" s="45"/>
    </row>
    <row r="238">
      <c r="A238" s="50"/>
      <c r="B238" s="50"/>
      <c r="C238" s="45"/>
    </row>
    <row r="239">
      <c r="A239" s="50"/>
      <c r="B239" s="50"/>
      <c r="C239" s="45"/>
    </row>
    <row r="240">
      <c r="A240" s="50"/>
      <c r="B240" s="50"/>
      <c r="C240" s="45"/>
    </row>
    <row r="241">
      <c r="A241" s="50"/>
      <c r="B241" s="50"/>
      <c r="C241" s="45"/>
    </row>
    <row r="242">
      <c r="A242" s="50"/>
      <c r="B242" s="50"/>
      <c r="C242" s="45"/>
    </row>
    <row r="243">
      <c r="A243" s="50"/>
      <c r="B243" s="50"/>
      <c r="C243" s="45"/>
    </row>
    <row r="244">
      <c r="A244" s="50"/>
      <c r="B244" s="50"/>
      <c r="C244" s="45"/>
    </row>
    <row r="245">
      <c r="A245" s="50"/>
      <c r="B245" s="50"/>
      <c r="C245" s="45"/>
    </row>
    <row r="246">
      <c r="A246" s="50"/>
      <c r="B246" s="50"/>
      <c r="C246" s="45"/>
    </row>
    <row r="247">
      <c r="A247" s="50"/>
      <c r="B247" s="50"/>
      <c r="C247" s="45"/>
    </row>
    <row r="248">
      <c r="A248" s="50"/>
      <c r="B248" s="50"/>
      <c r="C248" s="45"/>
    </row>
    <row r="249">
      <c r="A249" s="50"/>
      <c r="B249" s="50"/>
      <c r="C249" s="45"/>
    </row>
    <row r="250">
      <c r="A250" s="50"/>
      <c r="B250" s="50"/>
      <c r="C250" s="45"/>
    </row>
    <row r="251">
      <c r="A251" s="50"/>
      <c r="B251" s="50"/>
      <c r="C251" s="45"/>
    </row>
    <row r="252">
      <c r="A252" s="50"/>
      <c r="B252" s="50"/>
      <c r="C252" s="45"/>
    </row>
    <row r="253">
      <c r="A253" s="50"/>
      <c r="B253" s="50"/>
      <c r="C253" s="45"/>
    </row>
    <row r="254">
      <c r="A254" s="50"/>
      <c r="B254" s="50"/>
      <c r="C254" s="45"/>
    </row>
    <row r="255">
      <c r="A255" s="50"/>
      <c r="B255" s="50"/>
      <c r="C255" s="45"/>
    </row>
    <row r="256">
      <c r="A256" s="50"/>
      <c r="B256" s="50"/>
      <c r="C256" s="45"/>
    </row>
    <row r="257">
      <c r="A257" s="50"/>
      <c r="B257" s="50"/>
      <c r="C257" s="45"/>
    </row>
    <row r="258">
      <c r="A258" s="50"/>
      <c r="B258" s="50"/>
      <c r="C258" s="45"/>
    </row>
    <row r="259">
      <c r="A259" s="50"/>
      <c r="B259" s="50"/>
      <c r="C259" s="45"/>
    </row>
    <row r="260">
      <c r="A260" s="50"/>
      <c r="B260" s="50"/>
      <c r="C260" s="45"/>
    </row>
    <row r="261">
      <c r="A261" s="50"/>
      <c r="B261" s="50"/>
      <c r="C261" s="45"/>
    </row>
    <row r="262">
      <c r="A262" s="50"/>
      <c r="B262" s="50"/>
      <c r="C262" s="45"/>
    </row>
    <row r="263">
      <c r="A263" s="50"/>
      <c r="B263" s="50"/>
      <c r="C263" s="45"/>
    </row>
    <row r="264">
      <c r="A264" s="50"/>
      <c r="B264" s="50"/>
      <c r="C264" s="45"/>
    </row>
    <row r="265">
      <c r="A265" s="50"/>
      <c r="B265" s="50"/>
      <c r="C265" s="45"/>
    </row>
    <row r="266">
      <c r="A266" s="50"/>
      <c r="B266" s="50"/>
      <c r="C266" s="45"/>
    </row>
    <row r="267">
      <c r="A267" s="50"/>
      <c r="B267" s="50"/>
      <c r="C267" s="45"/>
    </row>
    <row r="268">
      <c r="A268" s="50"/>
      <c r="B268" s="50"/>
      <c r="C268" s="45"/>
    </row>
    <row r="269">
      <c r="A269" s="50"/>
      <c r="B269" s="50"/>
      <c r="C269" s="45"/>
    </row>
    <row r="270">
      <c r="A270" s="50"/>
      <c r="B270" s="50"/>
      <c r="C270" s="45"/>
    </row>
    <row r="271">
      <c r="A271" s="50"/>
      <c r="B271" s="50"/>
      <c r="C271" s="45"/>
    </row>
    <row r="272">
      <c r="A272" s="50"/>
      <c r="B272" s="50"/>
      <c r="C272" s="45"/>
    </row>
    <row r="273">
      <c r="A273" s="50"/>
      <c r="B273" s="50"/>
      <c r="C273" s="45"/>
    </row>
    <row r="274">
      <c r="A274" s="50"/>
      <c r="B274" s="50"/>
      <c r="C274" s="45"/>
    </row>
    <row r="275">
      <c r="A275" s="50"/>
      <c r="B275" s="50"/>
      <c r="C275" s="45"/>
    </row>
    <row r="276">
      <c r="A276" s="50"/>
      <c r="B276" s="50"/>
      <c r="C276" s="45"/>
    </row>
    <row r="277">
      <c r="A277" s="50"/>
      <c r="B277" s="50"/>
      <c r="C277" s="45"/>
    </row>
    <row r="278">
      <c r="A278" s="50"/>
      <c r="B278" s="50"/>
      <c r="C278" s="45"/>
    </row>
    <row r="279">
      <c r="A279" s="50"/>
      <c r="B279" s="50"/>
      <c r="C279" s="45"/>
    </row>
    <row r="280">
      <c r="A280" s="50"/>
      <c r="B280" s="50"/>
      <c r="C280" s="45"/>
    </row>
    <row r="281">
      <c r="A281" s="50"/>
      <c r="B281" s="50"/>
      <c r="C281" s="45"/>
    </row>
    <row r="282">
      <c r="A282" s="50"/>
      <c r="B282" s="50"/>
      <c r="C282" s="45"/>
    </row>
    <row r="283">
      <c r="A283" s="50"/>
      <c r="B283" s="50"/>
      <c r="C283" s="45"/>
    </row>
    <row r="284">
      <c r="A284" s="50"/>
      <c r="B284" s="50"/>
      <c r="C284" s="45"/>
    </row>
    <row r="285">
      <c r="A285" s="50"/>
      <c r="B285" s="50"/>
      <c r="C285" s="45"/>
    </row>
    <row r="286">
      <c r="A286" s="50"/>
      <c r="B286" s="50"/>
      <c r="C286" s="45"/>
    </row>
    <row r="287">
      <c r="A287" s="50"/>
      <c r="B287" s="50"/>
      <c r="C287" s="45"/>
    </row>
    <row r="288">
      <c r="A288" s="50"/>
      <c r="B288" s="50"/>
      <c r="C288" s="45"/>
    </row>
    <row r="289">
      <c r="A289" s="50"/>
      <c r="B289" s="50"/>
      <c r="C289" s="45"/>
    </row>
    <row r="290">
      <c r="A290" s="50"/>
      <c r="B290" s="50"/>
      <c r="C290" s="45"/>
    </row>
    <row r="291">
      <c r="A291" s="50"/>
      <c r="B291" s="50"/>
      <c r="C291" s="45"/>
    </row>
    <row r="292">
      <c r="A292" s="50"/>
      <c r="B292" s="50"/>
      <c r="C292" s="45"/>
    </row>
    <row r="293">
      <c r="A293" s="50"/>
      <c r="B293" s="50"/>
      <c r="C293" s="45"/>
    </row>
    <row r="294">
      <c r="A294" s="50"/>
      <c r="B294" s="50"/>
      <c r="C294" s="45"/>
    </row>
    <row r="295">
      <c r="A295" s="50"/>
      <c r="B295" s="50"/>
      <c r="C295" s="45"/>
    </row>
    <row r="296">
      <c r="A296" s="50"/>
      <c r="B296" s="50"/>
      <c r="C296" s="45"/>
    </row>
    <row r="297">
      <c r="A297" s="50"/>
      <c r="B297" s="50"/>
      <c r="C297" s="45"/>
    </row>
    <row r="298">
      <c r="A298" s="50"/>
      <c r="B298" s="50"/>
      <c r="C298" s="45"/>
    </row>
    <row r="299">
      <c r="A299" s="50"/>
      <c r="B299" s="50"/>
      <c r="C299" s="45"/>
    </row>
    <row r="300">
      <c r="A300" s="50"/>
      <c r="B300" s="50"/>
      <c r="C300" s="45"/>
    </row>
    <row r="301">
      <c r="A301" s="50"/>
      <c r="B301" s="50"/>
      <c r="C301" s="45"/>
    </row>
    <row r="302">
      <c r="A302" s="50"/>
      <c r="B302" s="50"/>
      <c r="C302" s="45"/>
    </row>
    <row r="303">
      <c r="A303" s="50"/>
      <c r="B303" s="50"/>
      <c r="C303" s="45"/>
    </row>
    <row r="304">
      <c r="A304" s="50"/>
      <c r="B304" s="50"/>
      <c r="C304" s="45"/>
    </row>
    <row r="305">
      <c r="A305" s="50"/>
      <c r="B305" s="50"/>
      <c r="C305" s="45"/>
    </row>
    <row r="306">
      <c r="A306" s="50"/>
      <c r="B306" s="50"/>
      <c r="C306" s="45"/>
    </row>
    <row r="307">
      <c r="A307" s="50"/>
      <c r="B307" s="50"/>
      <c r="C307" s="45"/>
    </row>
    <row r="308">
      <c r="A308" s="50"/>
      <c r="B308" s="50"/>
      <c r="C308" s="45"/>
    </row>
    <row r="309">
      <c r="A309" s="50"/>
      <c r="B309" s="50"/>
      <c r="C309" s="45"/>
    </row>
    <row r="310">
      <c r="A310" s="50"/>
      <c r="B310" s="50"/>
      <c r="C310" s="45"/>
    </row>
    <row r="311">
      <c r="A311" s="50"/>
      <c r="B311" s="50"/>
      <c r="C311" s="45"/>
    </row>
    <row r="312">
      <c r="A312" s="50"/>
      <c r="B312" s="50"/>
      <c r="C312" s="45"/>
    </row>
    <row r="313">
      <c r="A313" s="50"/>
      <c r="B313" s="50"/>
      <c r="C313" s="45"/>
    </row>
    <row r="314">
      <c r="A314" s="50"/>
      <c r="B314" s="50"/>
      <c r="C314" s="45"/>
    </row>
    <row r="315">
      <c r="A315" s="50"/>
      <c r="B315" s="50"/>
      <c r="C315" s="45"/>
    </row>
    <row r="316">
      <c r="A316" s="50"/>
      <c r="B316" s="50"/>
      <c r="C316" s="45"/>
    </row>
    <row r="317">
      <c r="A317" s="50"/>
      <c r="B317" s="50"/>
      <c r="C317" s="45"/>
    </row>
    <row r="318">
      <c r="A318" s="50"/>
      <c r="B318" s="50"/>
      <c r="C318" s="45"/>
    </row>
    <row r="319">
      <c r="A319" s="50"/>
      <c r="B319" s="50"/>
      <c r="C319" s="45"/>
    </row>
    <row r="320">
      <c r="A320" s="50"/>
      <c r="B320" s="50"/>
      <c r="C320" s="45"/>
    </row>
    <row r="321">
      <c r="A321" s="50"/>
      <c r="B321" s="50"/>
      <c r="C321" s="45"/>
    </row>
    <row r="322">
      <c r="A322" s="50"/>
      <c r="B322" s="50"/>
      <c r="C322" s="45"/>
    </row>
    <row r="323">
      <c r="A323" s="50"/>
      <c r="B323" s="50"/>
      <c r="C323" s="45"/>
    </row>
    <row r="324">
      <c r="A324" s="50"/>
      <c r="B324" s="50"/>
      <c r="C324" s="45"/>
    </row>
    <row r="325">
      <c r="A325" s="50"/>
      <c r="B325" s="50"/>
      <c r="C325" s="45"/>
    </row>
    <row r="326">
      <c r="A326" s="50"/>
      <c r="B326" s="50"/>
      <c r="C326" s="45"/>
    </row>
    <row r="327">
      <c r="A327" s="50"/>
      <c r="B327" s="50"/>
      <c r="C327" s="45"/>
    </row>
    <row r="328">
      <c r="A328" s="50"/>
      <c r="B328" s="50"/>
      <c r="C328" s="45"/>
    </row>
    <row r="329">
      <c r="A329" s="50"/>
      <c r="B329" s="50"/>
      <c r="C329" s="45"/>
    </row>
    <row r="330">
      <c r="A330" s="50"/>
      <c r="B330" s="50"/>
      <c r="C330" s="45"/>
    </row>
    <row r="331">
      <c r="A331" s="50"/>
      <c r="B331" s="50"/>
      <c r="C331" s="45"/>
    </row>
    <row r="332">
      <c r="A332" s="50"/>
      <c r="B332" s="50"/>
      <c r="C332" s="45"/>
    </row>
    <row r="333">
      <c r="A333" s="50"/>
      <c r="B333" s="50"/>
      <c r="C333" s="45"/>
    </row>
    <row r="334">
      <c r="A334" s="50"/>
      <c r="B334" s="50"/>
      <c r="C334" s="45"/>
    </row>
    <row r="335">
      <c r="A335" s="50"/>
      <c r="B335" s="50"/>
      <c r="C335" s="45"/>
    </row>
    <row r="336">
      <c r="A336" s="50"/>
      <c r="B336" s="50"/>
      <c r="C336" s="45"/>
    </row>
    <row r="337">
      <c r="A337" s="50"/>
      <c r="B337" s="50"/>
      <c r="C337" s="45"/>
    </row>
    <row r="338">
      <c r="A338" s="50"/>
      <c r="B338" s="50"/>
      <c r="C338" s="45"/>
    </row>
    <row r="339">
      <c r="A339" s="50"/>
      <c r="B339" s="50"/>
      <c r="C339" s="45"/>
    </row>
    <row r="340">
      <c r="A340" s="50"/>
      <c r="B340" s="50"/>
      <c r="C340" s="45"/>
    </row>
    <row r="341">
      <c r="A341" s="50"/>
      <c r="B341" s="50"/>
      <c r="C341" s="45"/>
    </row>
    <row r="342">
      <c r="A342" s="50"/>
      <c r="B342" s="50"/>
      <c r="C342" s="45"/>
    </row>
    <row r="343">
      <c r="A343" s="50"/>
      <c r="B343" s="50"/>
      <c r="C343" s="45"/>
    </row>
    <row r="344">
      <c r="A344" s="50"/>
      <c r="B344" s="50"/>
      <c r="C344" s="45"/>
    </row>
    <row r="345">
      <c r="A345" s="50"/>
      <c r="B345" s="50"/>
      <c r="C345" s="45"/>
      <c r="D345" s="66"/>
      <c r="H345" s="67"/>
    </row>
    <row r="346">
      <c r="A346" s="50"/>
      <c r="B346" s="50"/>
      <c r="C346" s="45"/>
      <c r="D346" s="66"/>
      <c r="H346" s="67"/>
    </row>
    <row r="347">
      <c r="A347" s="50"/>
      <c r="B347" s="50"/>
      <c r="C347" s="45"/>
      <c r="D347" s="66"/>
      <c r="H347" s="67"/>
    </row>
    <row r="348">
      <c r="A348" s="50"/>
      <c r="B348" s="50"/>
      <c r="C348" s="45"/>
      <c r="D348" s="66"/>
      <c r="H348" s="67"/>
    </row>
    <row r="349">
      <c r="A349" s="50"/>
      <c r="B349" s="50"/>
      <c r="C349" s="45"/>
      <c r="D349" s="66"/>
      <c r="H349" s="67"/>
    </row>
    <row r="350">
      <c r="A350" s="50"/>
      <c r="B350" s="50"/>
      <c r="C350" s="45"/>
      <c r="D350" s="66"/>
      <c r="H350" s="67"/>
    </row>
    <row r="351">
      <c r="A351" s="50"/>
      <c r="B351" s="50"/>
      <c r="C351" s="45"/>
      <c r="D351" s="66"/>
      <c r="H351" s="67"/>
    </row>
    <row r="352">
      <c r="A352" s="50"/>
      <c r="B352" s="50"/>
      <c r="C352" s="45"/>
      <c r="D352" s="66"/>
      <c r="H352" s="67"/>
    </row>
    <row r="353">
      <c r="A353" s="50"/>
      <c r="B353" s="50"/>
      <c r="C353" s="45"/>
      <c r="D353" s="66"/>
      <c r="H353" s="67"/>
    </row>
    <row r="354">
      <c r="A354" s="50"/>
      <c r="B354" s="50"/>
      <c r="C354" s="45"/>
      <c r="D354" s="66"/>
      <c r="H354" s="67"/>
    </row>
    <row r="355">
      <c r="A355" s="50"/>
      <c r="B355" s="50"/>
      <c r="C355" s="45"/>
      <c r="D355" s="66"/>
      <c r="H355" s="67"/>
    </row>
    <row r="356">
      <c r="A356" s="50"/>
      <c r="B356" s="50"/>
      <c r="C356" s="45"/>
      <c r="D356" s="66"/>
      <c r="H356" s="67"/>
    </row>
    <row r="357">
      <c r="A357" s="50"/>
      <c r="B357" s="50"/>
      <c r="C357" s="45"/>
      <c r="D357" s="66"/>
      <c r="H357" s="67"/>
    </row>
    <row r="358">
      <c r="A358" s="50"/>
      <c r="B358" s="50"/>
      <c r="C358" s="45"/>
      <c r="D358" s="66"/>
      <c r="H358" s="67"/>
    </row>
    <row r="359">
      <c r="A359" s="50"/>
      <c r="B359" s="50"/>
      <c r="C359" s="45"/>
      <c r="D359" s="66"/>
      <c r="H359" s="67"/>
    </row>
    <row r="360">
      <c r="A360" s="50"/>
      <c r="B360" s="50"/>
      <c r="C360" s="45"/>
      <c r="D360" s="66"/>
      <c r="H360" s="67"/>
    </row>
    <row r="361">
      <c r="A361" s="50"/>
      <c r="B361" s="50"/>
      <c r="C361" s="45"/>
      <c r="D361" s="66"/>
      <c r="H361" s="67"/>
    </row>
    <row r="362">
      <c r="A362" s="50"/>
      <c r="B362" s="50"/>
      <c r="C362" s="45"/>
      <c r="D362" s="66"/>
      <c r="H362" s="67"/>
    </row>
    <row r="363">
      <c r="A363" s="50"/>
      <c r="B363" s="50"/>
      <c r="C363" s="45"/>
      <c r="D363" s="66"/>
      <c r="H363" s="67"/>
    </row>
    <row r="364">
      <c r="A364" s="50"/>
      <c r="B364" s="50"/>
      <c r="C364" s="45"/>
      <c r="D364" s="66"/>
      <c r="H364" s="67"/>
    </row>
    <row r="365">
      <c r="A365" s="50"/>
      <c r="B365" s="50"/>
      <c r="C365" s="45"/>
      <c r="D365" s="66"/>
      <c r="H365" s="67"/>
    </row>
    <row r="366">
      <c r="A366" s="50"/>
      <c r="B366" s="50"/>
      <c r="C366" s="45"/>
      <c r="D366" s="66"/>
      <c r="H366" s="67"/>
    </row>
    <row r="367">
      <c r="A367" s="50"/>
      <c r="B367" s="50"/>
      <c r="C367" s="45"/>
      <c r="D367" s="66"/>
      <c r="H367" s="67"/>
    </row>
    <row r="368">
      <c r="A368" s="50"/>
      <c r="B368" s="50"/>
      <c r="C368" s="45"/>
      <c r="D368" s="66"/>
      <c r="H368" s="67"/>
    </row>
    <row r="369">
      <c r="A369" s="50"/>
      <c r="B369" s="50"/>
      <c r="C369" s="45"/>
      <c r="D369" s="66"/>
      <c r="H369" s="67"/>
    </row>
    <row r="370">
      <c r="A370" s="50"/>
      <c r="B370" s="50"/>
      <c r="C370" s="45"/>
      <c r="D370" s="66"/>
      <c r="H370" s="67"/>
    </row>
    <row r="371">
      <c r="A371" s="50"/>
      <c r="B371" s="50"/>
      <c r="C371" s="45"/>
      <c r="D371" s="66"/>
      <c r="H371" s="67"/>
    </row>
    <row r="372">
      <c r="A372" s="50"/>
      <c r="B372" s="50"/>
      <c r="C372" s="45"/>
      <c r="D372" s="66"/>
      <c r="H372" s="67"/>
    </row>
    <row r="373">
      <c r="A373" s="50"/>
      <c r="B373" s="50"/>
      <c r="C373" s="45"/>
      <c r="D373" s="66"/>
      <c r="H373" s="67"/>
    </row>
    <row r="374">
      <c r="A374" s="50"/>
      <c r="B374" s="50"/>
      <c r="C374" s="45"/>
      <c r="D374" s="66"/>
      <c r="H374" s="67"/>
    </row>
    <row r="375">
      <c r="A375" s="50"/>
      <c r="B375" s="50"/>
      <c r="C375" s="45"/>
      <c r="D375" s="66"/>
      <c r="H375" s="67"/>
    </row>
    <row r="376">
      <c r="A376" s="50"/>
      <c r="B376" s="50"/>
      <c r="C376" s="45"/>
      <c r="D376" s="66"/>
      <c r="H376" s="67"/>
    </row>
    <row r="377">
      <c r="A377" s="50"/>
      <c r="B377" s="50"/>
      <c r="C377" s="45"/>
      <c r="D377" s="66"/>
      <c r="H377" s="67"/>
    </row>
    <row r="378">
      <c r="A378" s="50"/>
      <c r="B378" s="50"/>
      <c r="C378" s="45"/>
      <c r="D378" s="66"/>
      <c r="H378" s="67"/>
    </row>
    <row r="379">
      <c r="A379" s="50"/>
      <c r="B379" s="50"/>
      <c r="C379" s="45"/>
      <c r="D379" s="66"/>
      <c r="H379" s="67"/>
    </row>
    <row r="380">
      <c r="A380" s="50"/>
      <c r="B380" s="50"/>
      <c r="C380" s="45"/>
      <c r="D380" s="66"/>
      <c r="H380" s="67"/>
    </row>
    <row r="381">
      <c r="A381" s="50"/>
      <c r="B381" s="50"/>
      <c r="C381" s="45"/>
      <c r="D381" s="66"/>
      <c r="H381" s="67"/>
    </row>
    <row r="382">
      <c r="A382" s="50"/>
      <c r="B382" s="50"/>
      <c r="C382" s="45"/>
      <c r="D382" s="66"/>
      <c r="H382" s="67"/>
    </row>
    <row r="383">
      <c r="A383" s="50"/>
      <c r="B383" s="50"/>
      <c r="C383" s="45"/>
      <c r="D383" s="66"/>
      <c r="H383" s="67"/>
    </row>
    <row r="384">
      <c r="A384" s="50"/>
      <c r="B384" s="50"/>
      <c r="C384" s="45"/>
      <c r="D384" s="66"/>
      <c r="H384" s="67"/>
    </row>
    <row r="385">
      <c r="A385" s="50"/>
      <c r="B385" s="50"/>
      <c r="C385" s="45"/>
      <c r="D385" s="66"/>
      <c r="H385" s="67"/>
    </row>
    <row r="386">
      <c r="A386" s="50"/>
      <c r="B386" s="50"/>
      <c r="C386" s="45"/>
      <c r="D386" s="66"/>
      <c r="H386" s="67"/>
    </row>
    <row r="387">
      <c r="A387" s="50"/>
      <c r="B387" s="50"/>
      <c r="C387" s="45"/>
      <c r="D387" s="66"/>
      <c r="H387" s="67"/>
    </row>
    <row r="388">
      <c r="A388" s="50"/>
      <c r="B388" s="50"/>
      <c r="C388" s="45"/>
      <c r="D388" s="66"/>
      <c r="H388" s="67"/>
    </row>
    <row r="389">
      <c r="A389" s="50"/>
      <c r="B389" s="50"/>
      <c r="C389" s="45"/>
      <c r="D389" s="66"/>
      <c r="H389" s="67"/>
    </row>
    <row r="390">
      <c r="A390" s="50"/>
      <c r="B390" s="50"/>
      <c r="C390" s="45"/>
      <c r="D390" s="66"/>
      <c r="H390" s="67"/>
    </row>
    <row r="391">
      <c r="A391" s="50"/>
      <c r="B391" s="50"/>
      <c r="C391" s="45"/>
      <c r="D391" s="66"/>
      <c r="H391" s="67"/>
    </row>
    <row r="392">
      <c r="A392" s="50"/>
      <c r="B392" s="50"/>
      <c r="C392" s="45"/>
      <c r="D392" s="66"/>
      <c r="H392" s="67"/>
    </row>
    <row r="393">
      <c r="A393" s="50"/>
      <c r="B393" s="50"/>
      <c r="C393" s="45"/>
      <c r="D393" s="66"/>
      <c r="H393" s="67"/>
    </row>
    <row r="394">
      <c r="A394" s="50"/>
      <c r="B394" s="50"/>
      <c r="C394" s="45"/>
      <c r="D394" s="66"/>
      <c r="H394" s="67"/>
    </row>
    <row r="395">
      <c r="A395" s="50"/>
      <c r="B395" s="50"/>
      <c r="C395" s="45"/>
      <c r="D395" s="66"/>
      <c r="H395" s="67"/>
    </row>
    <row r="396">
      <c r="A396" s="50"/>
      <c r="B396" s="50"/>
      <c r="C396" s="45"/>
      <c r="D396" s="66"/>
      <c r="H396" s="67"/>
    </row>
    <row r="397">
      <c r="A397" s="50"/>
      <c r="B397" s="50"/>
      <c r="C397" s="45"/>
      <c r="D397" s="66"/>
      <c r="H397" s="67"/>
    </row>
    <row r="398">
      <c r="A398" s="50"/>
      <c r="B398" s="50"/>
      <c r="C398" s="45"/>
      <c r="D398" s="66"/>
      <c r="H398" s="67"/>
    </row>
    <row r="399">
      <c r="A399" s="50"/>
      <c r="B399" s="50"/>
      <c r="C399" s="45"/>
      <c r="D399" s="66"/>
      <c r="H399" s="67"/>
    </row>
    <row r="400">
      <c r="A400" s="50"/>
      <c r="B400" s="50"/>
      <c r="C400" s="45"/>
      <c r="D400" s="66"/>
      <c r="H400" s="67"/>
    </row>
    <row r="401">
      <c r="A401" s="50"/>
      <c r="B401" s="50"/>
      <c r="C401" s="45"/>
      <c r="D401" s="66"/>
      <c r="H401" s="67"/>
    </row>
    <row r="402">
      <c r="A402" s="50"/>
      <c r="B402" s="50"/>
      <c r="C402" s="45"/>
      <c r="D402" s="66"/>
      <c r="H402" s="67"/>
    </row>
    <row r="403">
      <c r="A403" s="50"/>
      <c r="B403" s="50"/>
      <c r="C403" s="45"/>
      <c r="D403" s="66"/>
      <c r="H403" s="67"/>
    </row>
    <row r="404">
      <c r="A404" s="50"/>
      <c r="B404" s="50"/>
      <c r="C404" s="45"/>
      <c r="D404" s="66"/>
      <c r="H404" s="67"/>
    </row>
    <row r="405">
      <c r="A405" s="50"/>
      <c r="B405" s="50"/>
      <c r="C405" s="45"/>
      <c r="D405" s="66"/>
      <c r="H405" s="67"/>
    </row>
    <row r="406">
      <c r="A406" s="50"/>
      <c r="B406" s="50"/>
      <c r="C406" s="45"/>
      <c r="D406" s="66"/>
      <c r="H406" s="67"/>
    </row>
    <row r="407">
      <c r="A407" s="50"/>
      <c r="B407" s="50"/>
      <c r="C407" s="45"/>
      <c r="D407" s="66"/>
      <c r="H407" s="67"/>
    </row>
    <row r="408">
      <c r="A408" s="50"/>
      <c r="B408" s="50"/>
      <c r="C408" s="45"/>
      <c r="D408" s="66"/>
      <c r="H408" s="67"/>
    </row>
    <row r="409">
      <c r="A409" s="50"/>
      <c r="B409" s="50"/>
      <c r="C409" s="45"/>
      <c r="D409" s="66"/>
      <c r="H409" s="67"/>
    </row>
    <row r="410">
      <c r="A410" s="50"/>
      <c r="B410" s="50"/>
      <c r="C410" s="45"/>
      <c r="D410" s="66"/>
      <c r="H410" s="67"/>
    </row>
    <row r="411">
      <c r="A411" s="50"/>
      <c r="B411" s="50"/>
      <c r="C411" s="45"/>
      <c r="D411" s="66"/>
      <c r="H411" s="67"/>
    </row>
    <row r="412">
      <c r="A412" s="50"/>
      <c r="B412" s="50"/>
      <c r="C412" s="45"/>
      <c r="D412" s="66"/>
      <c r="H412" s="67"/>
    </row>
    <row r="413">
      <c r="A413" s="50"/>
      <c r="B413" s="50"/>
      <c r="C413" s="45"/>
      <c r="D413" s="66"/>
      <c r="H413" s="67"/>
    </row>
    <row r="414">
      <c r="A414" s="50"/>
      <c r="B414" s="50"/>
      <c r="C414" s="45"/>
      <c r="D414" s="66"/>
      <c r="H414" s="67"/>
    </row>
    <row r="415">
      <c r="A415" s="50"/>
      <c r="B415" s="50"/>
      <c r="C415" s="45"/>
      <c r="D415" s="66"/>
      <c r="H415" s="67"/>
    </row>
    <row r="416">
      <c r="A416" s="50"/>
      <c r="B416" s="50"/>
      <c r="C416" s="45"/>
      <c r="D416" s="66"/>
      <c r="H416" s="67"/>
    </row>
    <row r="417">
      <c r="A417" s="50"/>
      <c r="B417" s="50"/>
      <c r="C417" s="45"/>
      <c r="D417" s="66"/>
      <c r="H417" s="67"/>
    </row>
    <row r="418">
      <c r="A418" s="50"/>
      <c r="B418" s="50"/>
      <c r="C418" s="45"/>
      <c r="D418" s="66"/>
      <c r="H418" s="67"/>
    </row>
    <row r="419">
      <c r="A419" s="50"/>
      <c r="B419" s="50"/>
      <c r="C419" s="45"/>
      <c r="D419" s="66"/>
      <c r="H419" s="67"/>
    </row>
    <row r="420">
      <c r="A420" s="50"/>
      <c r="B420" s="50"/>
      <c r="C420" s="45"/>
      <c r="D420" s="66"/>
      <c r="H420" s="67"/>
    </row>
    <row r="421">
      <c r="A421" s="50"/>
      <c r="B421" s="50"/>
      <c r="C421" s="45"/>
      <c r="D421" s="66"/>
      <c r="H421" s="67"/>
    </row>
    <row r="422">
      <c r="A422" s="50"/>
      <c r="B422" s="50"/>
      <c r="C422" s="45"/>
      <c r="D422" s="66"/>
      <c r="H422" s="67"/>
    </row>
    <row r="423">
      <c r="A423" s="50"/>
      <c r="B423" s="50"/>
      <c r="C423" s="45"/>
      <c r="D423" s="66"/>
      <c r="H423" s="67"/>
    </row>
    <row r="424">
      <c r="A424" s="50"/>
      <c r="B424" s="50"/>
      <c r="C424" s="45"/>
      <c r="D424" s="66"/>
      <c r="H424" s="67"/>
    </row>
    <row r="425">
      <c r="A425" s="50"/>
      <c r="B425" s="50"/>
      <c r="C425" s="45"/>
      <c r="D425" s="66"/>
      <c r="H425" s="67"/>
    </row>
    <row r="426">
      <c r="A426" s="50"/>
      <c r="B426" s="50"/>
      <c r="C426" s="45"/>
      <c r="D426" s="66"/>
      <c r="H426" s="67"/>
    </row>
    <row r="427">
      <c r="A427" s="50"/>
      <c r="B427" s="50"/>
      <c r="C427" s="45"/>
      <c r="D427" s="66"/>
      <c r="H427" s="67"/>
    </row>
    <row r="428">
      <c r="A428" s="50"/>
      <c r="B428" s="50"/>
      <c r="C428" s="45"/>
      <c r="D428" s="66"/>
      <c r="H428" s="67"/>
    </row>
    <row r="429">
      <c r="A429" s="50"/>
      <c r="B429" s="50"/>
      <c r="C429" s="45"/>
      <c r="D429" s="66"/>
      <c r="H429" s="67"/>
    </row>
    <row r="430">
      <c r="A430" s="50"/>
      <c r="B430" s="50"/>
      <c r="C430" s="45"/>
      <c r="D430" s="66"/>
      <c r="H430" s="67"/>
    </row>
    <row r="431">
      <c r="A431" s="50"/>
      <c r="B431" s="50"/>
      <c r="C431" s="45"/>
      <c r="D431" s="66"/>
      <c r="H431" s="67"/>
    </row>
    <row r="432">
      <c r="A432" s="50"/>
      <c r="B432" s="50"/>
      <c r="C432" s="45"/>
      <c r="D432" s="66"/>
      <c r="H432" s="67"/>
    </row>
    <row r="433">
      <c r="A433" s="50"/>
      <c r="B433" s="50"/>
      <c r="C433" s="45"/>
      <c r="D433" s="66"/>
      <c r="H433" s="67"/>
    </row>
    <row r="434">
      <c r="A434" s="50"/>
      <c r="B434" s="50"/>
      <c r="C434" s="45"/>
      <c r="D434" s="66"/>
      <c r="H434" s="67"/>
    </row>
    <row r="435">
      <c r="A435" s="50"/>
      <c r="B435" s="50"/>
      <c r="C435" s="45"/>
      <c r="D435" s="66"/>
      <c r="H435" s="67"/>
    </row>
    <row r="436">
      <c r="A436" s="50"/>
      <c r="B436" s="50"/>
      <c r="C436" s="45"/>
      <c r="D436" s="66"/>
      <c r="H436" s="67"/>
    </row>
    <row r="437">
      <c r="A437" s="50"/>
      <c r="B437" s="50"/>
      <c r="C437" s="45"/>
      <c r="D437" s="66"/>
      <c r="H437" s="67"/>
    </row>
    <row r="438">
      <c r="A438" s="50"/>
      <c r="B438" s="50"/>
      <c r="C438" s="45"/>
      <c r="D438" s="66"/>
      <c r="H438" s="67"/>
    </row>
    <row r="439">
      <c r="A439" s="50"/>
      <c r="B439" s="50"/>
      <c r="C439" s="45"/>
      <c r="D439" s="66"/>
      <c r="H439" s="67"/>
    </row>
    <row r="440">
      <c r="A440" s="50"/>
      <c r="B440" s="50"/>
      <c r="C440" s="45"/>
      <c r="D440" s="66"/>
      <c r="H440" s="67"/>
    </row>
    <row r="441">
      <c r="A441" s="50"/>
      <c r="B441" s="50"/>
      <c r="C441" s="45"/>
      <c r="D441" s="66"/>
      <c r="H441" s="67"/>
    </row>
    <row r="442">
      <c r="A442" s="50"/>
      <c r="B442" s="50"/>
      <c r="C442" s="45"/>
      <c r="D442" s="66"/>
      <c r="H442" s="67"/>
    </row>
    <row r="443">
      <c r="A443" s="50"/>
      <c r="B443" s="50"/>
      <c r="C443" s="45"/>
      <c r="D443" s="66"/>
      <c r="H443" s="67"/>
    </row>
    <row r="444">
      <c r="A444" s="50"/>
      <c r="B444" s="50"/>
      <c r="C444" s="45"/>
      <c r="D444" s="66"/>
      <c r="H444" s="67"/>
    </row>
    <row r="445">
      <c r="A445" s="50"/>
      <c r="B445" s="50"/>
      <c r="C445" s="45"/>
      <c r="D445" s="66"/>
      <c r="H445" s="67"/>
    </row>
    <row r="446">
      <c r="A446" s="50"/>
      <c r="B446" s="50"/>
      <c r="C446" s="45"/>
      <c r="D446" s="66"/>
      <c r="H446" s="67"/>
    </row>
    <row r="447">
      <c r="A447" s="50"/>
      <c r="B447" s="50"/>
      <c r="C447" s="45"/>
      <c r="D447" s="66"/>
      <c r="H447" s="67"/>
    </row>
    <row r="448">
      <c r="A448" s="50"/>
      <c r="B448" s="50"/>
      <c r="C448" s="45"/>
      <c r="D448" s="66"/>
      <c r="H448" s="67"/>
    </row>
    <row r="449">
      <c r="A449" s="50"/>
      <c r="B449" s="50"/>
      <c r="C449" s="45"/>
      <c r="D449" s="66"/>
      <c r="H449" s="67"/>
    </row>
    <row r="450">
      <c r="A450" s="50"/>
      <c r="B450" s="50"/>
      <c r="C450" s="45"/>
      <c r="D450" s="66"/>
      <c r="H450" s="67"/>
    </row>
    <row r="451">
      <c r="A451" s="50"/>
      <c r="B451" s="50"/>
      <c r="C451" s="45"/>
      <c r="D451" s="66"/>
      <c r="H451" s="67"/>
    </row>
    <row r="452">
      <c r="A452" s="50"/>
      <c r="B452" s="50"/>
      <c r="C452" s="45"/>
      <c r="D452" s="66"/>
      <c r="H452" s="67"/>
    </row>
    <row r="453">
      <c r="A453" s="50"/>
      <c r="B453" s="50"/>
      <c r="C453" s="45"/>
      <c r="D453" s="66"/>
      <c r="H453" s="67"/>
    </row>
    <row r="454">
      <c r="A454" s="50"/>
      <c r="B454" s="50"/>
      <c r="C454" s="45"/>
      <c r="D454" s="66"/>
      <c r="H454" s="67"/>
    </row>
    <row r="455">
      <c r="A455" s="50"/>
      <c r="B455" s="50"/>
      <c r="C455" s="45"/>
      <c r="D455" s="66"/>
      <c r="H455" s="67"/>
    </row>
    <row r="456">
      <c r="A456" s="50"/>
      <c r="B456" s="50"/>
      <c r="C456" s="45"/>
      <c r="D456" s="66"/>
      <c r="H456" s="67"/>
    </row>
    <row r="457">
      <c r="A457" s="50"/>
      <c r="B457" s="50"/>
      <c r="C457" s="45"/>
      <c r="D457" s="66"/>
      <c r="H457" s="67"/>
    </row>
    <row r="458">
      <c r="A458" s="50"/>
      <c r="B458" s="50"/>
      <c r="C458" s="45"/>
      <c r="D458" s="66"/>
      <c r="H458" s="67"/>
    </row>
    <row r="459">
      <c r="A459" s="50"/>
      <c r="B459" s="50"/>
      <c r="C459" s="45"/>
      <c r="D459" s="66"/>
      <c r="H459" s="67"/>
    </row>
    <row r="460">
      <c r="A460" s="50"/>
      <c r="B460" s="50"/>
      <c r="C460" s="45"/>
      <c r="D460" s="66"/>
      <c r="H460" s="67"/>
    </row>
    <row r="461">
      <c r="A461" s="50"/>
      <c r="B461" s="50"/>
      <c r="C461" s="45"/>
      <c r="D461" s="66"/>
      <c r="H461" s="67"/>
    </row>
    <row r="462">
      <c r="A462" s="50"/>
      <c r="B462" s="50"/>
      <c r="C462" s="45"/>
      <c r="D462" s="66"/>
      <c r="H462" s="67"/>
    </row>
    <row r="463">
      <c r="A463" s="50"/>
      <c r="B463" s="50"/>
      <c r="C463" s="45"/>
      <c r="D463" s="66"/>
      <c r="H463" s="67"/>
    </row>
    <row r="464">
      <c r="A464" s="50"/>
      <c r="B464" s="50"/>
      <c r="C464" s="45"/>
      <c r="D464" s="66"/>
      <c r="H464" s="67"/>
    </row>
    <row r="465">
      <c r="A465" s="50"/>
      <c r="B465" s="50"/>
      <c r="C465" s="45"/>
      <c r="D465" s="66"/>
      <c r="H465" s="67"/>
    </row>
    <row r="466">
      <c r="A466" s="50"/>
      <c r="B466" s="50"/>
      <c r="C466" s="45"/>
      <c r="D466" s="66"/>
      <c r="H466" s="67"/>
    </row>
    <row r="467">
      <c r="A467" s="50"/>
      <c r="B467" s="50"/>
      <c r="C467" s="45"/>
      <c r="D467" s="66"/>
      <c r="H467" s="67"/>
    </row>
    <row r="468">
      <c r="A468" s="50"/>
      <c r="B468" s="50"/>
      <c r="C468" s="45"/>
      <c r="D468" s="66"/>
      <c r="H468" s="67"/>
    </row>
    <row r="469">
      <c r="A469" s="50"/>
      <c r="B469" s="50"/>
      <c r="C469" s="45"/>
      <c r="D469" s="66"/>
      <c r="H469" s="67"/>
    </row>
    <row r="470">
      <c r="A470" s="50"/>
      <c r="B470" s="50"/>
      <c r="C470" s="45"/>
      <c r="D470" s="66"/>
      <c r="H470" s="67"/>
    </row>
    <row r="471">
      <c r="A471" s="50"/>
      <c r="B471" s="50"/>
      <c r="C471" s="45"/>
      <c r="D471" s="66"/>
      <c r="H471" s="67"/>
    </row>
    <row r="472">
      <c r="A472" s="50"/>
      <c r="B472" s="50"/>
      <c r="C472" s="45"/>
      <c r="D472" s="66"/>
      <c r="H472" s="67"/>
    </row>
    <row r="473">
      <c r="A473" s="50"/>
      <c r="B473" s="50"/>
      <c r="C473" s="45"/>
      <c r="D473" s="66"/>
      <c r="H473" s="67"/>
    </row>
    <row r="474">
      <c r="A474" s="50"/>
      <c r="B474" s="50"/>
      <c r="C474" s="45"/>
      <c r="D474" s="66"/>
      <c r="H474" s="67"/>
    </row>
    <row r="475">
      <c r="A475" s="50"/>
      <c r="B475" s="50"/>
      <c r="C475" s="45"/>
      <c r="D475" s="66"/>
      <c r="H475" s="67"/>
    </row>
    <row r="476">
      <c r="A476" s="50"/>
      <c r="B476" s="50"/>
      <c r="C476" s="45"/>
      <c r="D476" s="66"/>
      <c r="H476" s="67"/>
    </row>
    <row r="477">
      <c r="A477" s="50"/>
      <c r="B477" s="50"/>
      <c r="C477" s="45"/>
      <c r="D477" s="66"/>
      <c r="H477" s="67"/>
    </row>
    <row r="478">
      <c r="A478" s="50"/>
      <c r="B478" s="50"/>
      <c r="C478" s="45"/>
      <c r="D478" s="66"/>
      <c r="H478" s="67"/>
    </row>
    <row r="479">
      <c r="A479" s="50"/>
      <c r="B479" s="50"/>
      <c r="C479" s="45"/>
      <c r="D479" s="66"/>
      <c r="H479" s="67"/>
    </row>
    <row r="480">
      <c r="A480" s="50"/>
      <c r="B480" s="50"/>
      <c r="C480" s="45"/>
      <c r="D480" s="66"/>
      <c r="H480" s="67"/>
    </row>
    <row r="481">
      <c r="A481" s="50"/>
      <c r="B481" s="50"/>
      <c r="C481" s="45"/>
      <c r="D481" s="66"/>
      <c r="H481" s="67"/>
    </row>
    <row r="482">
      <c r="A482" s="50"/>
      <c r="B482" s="50"/>
      <c r="C482" s="45"/>
      <c r="D482" s="66"/>
      <c r="H482" s="67"/>
    </row>
    <row r="483">
      <c r="A483" s="50"/>
      <c r="B483" s="50"/>
      <c r="C483" s="45"/>
      <c r="D483" s="66"/>
      <c r="H483" s="67"/>
    </row>
    <row r="484">
      <c r="A484" s="50"/>
      <c r="B484" s="50"/>
      <c r="C484" s="45"/>
      <c r="D484" s="66"/>
      <c r="H484" s="67"/>
    </row>
    <row r="485">
      <c r="A485" s="50"/>
      <c r="B485" s="50"/>
      <c r="C485" s="45"/>
      <c r="D485" s="66"/>
      <c r="H485" s="67"/>
    </row>
    <row r="486">
      <c r="A486" s="50"/>
      <c r="B486" s="50"/>
      <c r="C486" s="45"/>
      <c r="D486" s="66"/>
      <c r="H486" s="67"/>
    </row>
    <row r="487">
      <c r="A487" s="50"/>
      <c r="B487" s="50"/>
      <c r="C487" s="45"/>
      <c r="D487" s="66"/>
      <c r="H487" s="67"/>
    </row>
    <row r="488">
      <c r="A488" s="50"/>
      <c r="B488" s="50"/>
      <c r="C488" s="45"/>
      <c r="D488" s="66"/>
      <c r="H488" s="67"/>
    </row>
    <row r="489">
      <c r="A489" s="50"/>
      <c r="B489" s="50"/>
      <c r="C489" s="45"/>
      <c r="D489" s="66"/>
      <c r="H489" s="67"/>
    </row>
    <row r="490">
      <c r="A490" s="50"/>
      <c r="B490" s="50"/>
      <c r="C490" s="45"/>
      <c r="D490" s="66"/>
      <c r="H490" s="67"/>
    </row>
    <row r="491">
      <c r="A491" s="50"/>
      <c r="B491" s="50"/>
      <c r="C491" s="45"/>
      <c r="D491" s="66"/>
      <c r="H491" s="67"/>
    </row>
    <row r="492">
      <c r="A492" s="50"/>
      <c r="B492" s="50"/>
      <c r="C492" s="45"/>
      <c r="D492" s="66"/>
      <c r="H492" s="67"/>
    </row>
    <row r="493">
      <c r="A493" s="50"/>
      <c r="B493" s="50"/>
      <c r="C493" s="45"/>
      <c r="D493" s="66"/>
      <c r="H493" s="67"/>
    </row>
    <row r="494">
      <c r="A494" s="50"/>
      <c r="B494" s="50"/>
      <c r="C494" s="45"/>
      <c r="D494" s="66"/>
      <c r="H494" s="67"/>
    </row>
    <row r="495">
      <c r="A495" s="50"/>
      <c r="B495" s="50"/>
      <c r="C495" s="45"/>
      <c r="D495" s="66"/>
      <c r="H495" s="67"/>
    </row>
    <row r="496">
      <c r="A496" s="50"/>
      <c r="B496" s="50"/>
      <c r="C496" s="45"/>
      <c r="D496" s="66"/>
      <c r="H496" s="67"/>
    </row>
    <row r="497">
      <c r="A497" s="50"/>
      <c r="B497" s="50"/>
      <c r="C497" s="45"/>
      <c r="D497" s="66"/>
      <c r="H497" s="67"/>
    </row>
    <row r="498">
      <c r="A498" s="50"/>
      <c r="B498" s="50"/>
      <c r="C498" s="45"/>
      <c r="D498" s="66"/>
      <c r="H498" s="67"/>
    </row>
    <row r="499">
      <c r="A499" s="50"/>
      <c r="B499" s="50"/>
      <c r="C499" s="45"/>
      <c r="D499" s="66"/>
      <c r="H499" s="67"/>
    </row>
    <row r="500">
      <c r="A500" s="50"/>
      <c r="B500" s="50"/>
      <c r="C500" s="45"/>
      <c r="D500" s="66"/>
      <c r="H500" s="67"/>
    </row>
    <row r="501">
      <c r="A501" s="50"/>
      <c r="B501" s="50"/>
      <c r="C501" s="45"/>
      <c r="D501" s="66"/>
      <c r="H501" s="67"/>
    </row>
    <row r="502">
      <c r="A502" s="50"/>
      <c r="B502" s="50"/>
      <c r="C502" s="45"/>
      <c r="D502" s="66"/>
      <c r="H502" s="67"/>
    </row>
    <row r="503">
      <c r="A503" s="50"/>
      <c r="B503" s="50"/>
      <c r="C503" s="45"/>
      <c r="D503" s="66"/>
      <c r="H503" s="67"/>
    </row>
    <row r="504">
      <c r="A504" s="50"/>
      <c r="B504" s="50"/>
      <c r="C504" s="45"/>
      <c r="D504" s="66"/>
      <c r="H504" s="67"/>
    </row>
    <row r="505">
      <c r="A505" s="50"/>
      <c r="B505" s="50"/>
      <c r="C505" s="45"/>
      <c r="D505" s="66"/>
      <c r="H505" s="67"/>
    </row>
    <row r="506">
      <c r="A506" s="50"/>
      <c r="B506" s="50"/>
      <c r="C506" s="45"/>
      <c r="D506" s="66"/>
      <c r="H506" s="67"/>
    </row>
    <row r="507">
      <c r="A507" s="50"/>
      <c r="B507" s="50"/>
      <c r="C507" s="45"/>
      <c r="D507" s="66"/>
      <c r="H507" s="67"/>
    </row>
    <row r="508">
      <c r="A508" s="50"/>
      <c r="B508" s="50"/>
      <c r="C508" s="45"/>
      <c r="D508" s="66"/>
      <c r="H508" s="67"/>
    </row>
    <row r="509">
      <c r="A509" s="50"/>
      <c r="B509" s="50"/>
      <c r="C509" s="45"/>
      <c r="D509" s="66"/>
      <c r="H509" s="67"/>
    </row>
    <row r="510">
      <c r="A510" s="50"/>
      <c r="B510" s="50"/>
      <c r="C510" s="45"/>
      <c r="D510" s="66"/>
      <c r="H510" s="67"/>
    </row>
    <row r="511">
      <c r="A511" s="50"/>
      <c r="B511" s="50"/>
      <c r="C511" s="45"/>
      <c r="D511" s="66"/>
      <c r="H511" s="67"/>
    </row>
    <row r="512">
      <c r="A512" s="50"/>
      <c r="B512" s="50"/>
      <c r="C512" s="45"/>
      <c r="D512" s="66"/>
      <c r="H512" s="67"/>
    </row>
    <row r="513">
      <c r="A513" s="50"/>
      <c r="B513" s="50"/>
      <c r="C513" s="45"/>
      <c r="D513" s="66"/>
      <c r="H513" s="67"/>
    </row>
    <row r="514">
      <c r="A514" s="50"/>
      <c r="B514" s="50"/>
      <c r="C514" s="45"/>
      <c r="D514" s="66"/>
      <c r="H514" s="67"/>
    </row>
    <row r="515">
      <c r="A515" s="50"/>
      <c r="B515" s="50"/>
      <c r="C515" s="45"/>
      <c r="D515" s="66"/>
      <c r="H515" s="67"/>
    </row>
    <row r="516">
      <c r="A516" s="50"/>
      <c r="B516" s="50"/>
      <c r="C516" s="45"/>
      <c r="D516" s="66"/>
      <c r="H516" s="67"/>
    </row>
    <row r="517">
      <c r="A517" s="50"/>
      <c r="B517" s="50"/>
      <c r="C517" s="45"/>
      <c r="D517" s="66"/>
      <c r="H517" s="67"/>
    </row>
    <row r="518">
      <c r="A518" s="50"/>
      <c r="B518" s="50"/>
      <c r="C518" s="45"/>
      <c r="D518" s="66"/>
      <c r="H518" s="67"/>
    </row>
    <row r="519">
      <c r="A519" s="50"/>
      <c r="B519" s="50"/>
      <c r="C519" s="45"/>
      <c r="D519" s="66"/>
      <c r="H519" s="67"/>
    </row>
    <row r="520">
      <c r="A520" s="50"/>
      <c r="B520" s="50"/>
      <c r="C520" s="45"/>
      <c r="D520" s="66"/>
      <c r="H520" s="67"/>
    </row>
    <row r="521">
      <c r="A521" s="50"/>
      <c r="B521" s="50"/>
      <c r="C521" s="45"/>
      <c r="D521" s="66"/>
      <c r="H521" s="67"/>
    </row>
    <row r="522">
      <c r="A522" s="50"/>
      <c r="B522" s="50"/>
      <c r="C522" s="45"/>
      <c r="D522" s="66"/>
      <c r="H522" s="67"/>
    </row>
    <row r="523">
      <c r="A523" s="50"/>
      <c r="B523" s="50"/>
      <c r="C523" s="45"/>
      <c r="D523" s="66"/>
      <c r="H523" s="67"/>
    </row>
    <row r="524">
      <c r="A524" s="50"/>
      <c r="B524" s="50"/>
      <c r="C524" s="45"/>
      <c r="D524" s="66"/>
      <c r="H524" s="67"/>
    </row>
    <row r="525">
      <c r="A525" s="50"/>
      <c r="B525" s="50"/>
      <c r="C525" s="45"/>
      <c r="D525" s="66"/>
      <c r="H525" s="67"/>
    </row>
    <row r="526">
      <c r="A526" s="50"/>
      <c r="B526" s="50"/>
      <c r="C526" s="45"/>
      <c r="D526" s="66"/>
      <c r="H526" s="67"/>
    </row>
    <row r="527">
      <c r="A527" s="50"/>
      <c r="B527" s="50"/>
      <c r="C527" s="45"/>
      <c r="D527" s="66"/>
      <c r="H527" s="67"/>
    </row>
    <row r="528">
      <c r="A528" s="50"/>
      <c r="B528" s="50"/>
      <c r="C528" s="45"/>
      <c r="D528" s="66"/>
      <c r="H528" s="67"/>
    </row>
    <row r="529">
      <c r="A529" s="50"/>
      <c r="B529" s="50"/>
      <c r="C529" s="45"/>
      <c r="D529" s="66"/>
      <c r="H529" s="67"/>
    </row>
    <row r="530">
      <c r="A530" s="50"/>
      <c r="B530" s="50"/>
      <c r="C530" s="45"/>
      <c r="D530" s="66"/>
      <c r="H530" s="67"/>
    </row>
    <row r="531">
      <c r="A531" s="50"/>
      <c r="B531" s="50"/>
      <c r="C531" s="45"/>
      <c r="D531" s="66"/>
      <c r="H531" s="67"/>
    </row>
    <row r="532">
      <c r="A532" s="50"/>
      <c r="B532" s="50"/>
      <c r="C532" s="45"/>
      <c r="D532" s="66"/>
      <c r="H532" s="67"/>
    </row>
    <row r="533">
      <c r="A533" s="50"/>
      <c r="B533" s="50"/>
      <c r="C533" s="45"/>
      <c r="D533" s="66"/>
      <c r="H533" s="67"/>
    </row>
    <row r="534">
      <c r="A534" s="50"/>
      <c r="B534" s="50"/>
      <c r="C534" s="45"/>
      <c r="D534" s="66"/>
      <c r="H534" s="67"/>
    </row>
    <row r="535">
      <c r="A535" s="50"/>
      <c r="B535" s="50"/>
      <c r="C535" s="45"/>
      <c r="D535" s="66"/>
      <c r="H535" s="67"/>
    </row>
    <row r="536">
      <c r="A536" s="50"/>
      <c r="B536" s="50"/>
      <c r="C536" s="45"/>
      <c r="D536" s="66"/>
      <c r="H536" s="67"/>
    </row>
    <row r="537">
      <c r="A537" s="50"/>
      <c r="B537" s="50"/>
      <c r="C537" s="45"/>
      <c r="D537" s="66"/>
      <c r="H537" s="67"/>
    </row>
    <row r="538">
      <c r="A538" s="50"/>
      <c r="B538" s="50"/>
      <c r="C538" s="45"/>
      <c r="D538" s="66"/>
      <c r="H538" s="67"/>
    </row>
    <row r="539">
      <c r="A539" s="50"/>
      <c r="B539" s="50"/>
      <c r="C539" s="45"/>
      <c r="D539" s="66"/>
      <c r="H539" s="67"/>
    </row>
    <row r="540">
      <c r="A540" s="50"/>
      <c r="B540" s="50"/>
      <c r="C540" s="45"/>
      <c r="D540" s="66"/>
      <c r="H540" s="67"/>
    </row>
    <row r="541">
      <c r="A541" s="50"/>
      <c r="B541" s="50"/>
      <c r="C541" s="45"/>
      <c r="D541" s="66"/>
      <c r="H541" s="67"/>
    </row>
    <row r="542">
      <c r="A542" s="50"/>
      <c r="B542" s="50"/>
      <c r="C542" s="45"/>
      <c r="D542" s="66"/>
      <c r="H542" s="67"/>
    </row>
    <row r="543">
      <c r="A543" s="50"/>
      <c r="B543" s="50"/>
      <c r="C543" s="45"/>
      <c r="D543" s="66"/>
      <c r="H543" s="67"/>
    </row>
    <row r="544">
      <c r="A544" s="50"/>
      <c r="B544" s="50"/>
      <c r="C544" s="45"/>
      <c r="D544" s="66"/>
      <c r="H544" s="67"/>
    </row>
    <row r="545">
      <c r="A545" s="50"/>
      <c r="B545" s="50"/>
      <c r="C545" s="45"/>
      <c r="D545" s="66"/>
      <c r="H545" s="67"/>
    </row>
    <row r="546">
      <c r="A546" s="50"/>
      <c r="B546" s="50"/>
      <c r="C546" s="45"/>
      <c r="D546" s="66"/>
      <c r="H546" s="67"/>
    </row>
    <row r="547">
      <c r="A547" s="50"/>
      <c r="B547" s="50"/>
      <c r="C547" s="45"/>
      <c r="D547" s="66"/>
      <c r="H547" s="67"/>
    </row>
    <row r="548">
      <c r="A548" s="50"/>
      <c r="B548" s="50"/>
      <c r="C548" s="45"/>
      <c r="D548" s="66"/>
      <c r="H548" s="67"/>
    </row>
    <row r="549">
      <c r="A549" s="50"/>
      <c r="B549" s="50"/>
      <c r="C549" s="45"/>
      <c r="D549" s="66"/>
      <c r="H549" s="67"/>
    </row>
    <row r="550">
      <c r="A550" s="50"/>
      <c r="B550" s="50"/>
      <c r="C550" s="45"/>
      <c r="D550" s="66"/>
      <c r="H550" s="67"/>
    </row>
    <row r="551">
      <c r="A551" s="50"/>
      <c r="B551" s="50"/>
      <c r="C551" s="45"/>
      <c r="D551" s="66"/>
      <c r="H551" s="67"/>
    </row>
    <row r="552">
      <c r="A552" s="50"/>
      <c r="B552" s="50"/>
      <c r="C552" s="45"/>
      <c r="D552" s="66"/>
      <c r="H552" s="67"/>
    </row>
    <row r="553">
      <c r="A553" s="50"/>
      <c r="B553" s="50"/>
      <c r="C553" s="45"/>
      <c r="D553" s="66"/>
      <c r="H553" s="67"/>
    </row>
    <row r="554">
      <c r="A554" s="50"/>
      <c r="B554" s="50"/>
      <c r="C554" s="45"/>
      <c r="D554" s="66"/>
      <c r="H554" s="67"/>
    </row>
    <row r="555">
      <c r="A555" s="50"/>
      <c r="B555" s="50"/>
      <c r="C555" s="45"/>
      <c r="D555" s="66"/>
      <c r="H555" s="67"/>
    </row>
    <row r="556">
      <c r="A556" s="50"/>
      <c r="B556" s="50"/>
      <c r="C556" s="45"/>
      <c r="D556" s="66"/>
      <c r="H556" s="67"/>
    </row>
    <row r="557">
      <c r="A557" s="50"/>
      <c r="B557" s="50"/>
      <c r="C557" s="45"/>
      <c r="D557" s="66"/>
      <c r="H557" s="67"/>
    </row>
    <row r="558">
      <c r="A558" s="50"/>
      <c r="B558" s="50"/>
      <c r="C558" s="45"/>
      <c r="D558" s="66"/>
      <c r="H558" s="67"/>
    </row>
    <row r="559">
      <c r="A559" s="50"/>
      <c r="B559" s="50"/>
      <c r="C559" s="45"/>
      <c r="D559" s="66"/>
      <c r="H559" s="67"/>
    </row>
    <row r="560">
      <c r="A560" s="50"/>
      <c r="B560" s="50"/>
      <c r="C560" s="45"/>
      <c r="D560" s="66"/>
      <c r="H560" s="67"/>
    </row>
    <row r="561">
      <c r="A561" s="50"/>
      <c r="B561" s="50"/>
      <c r="C561" s="45"/>
      <c r="D561" s="66"/>
      <c r="H561" s="67"/>
    </row>
    <row r="562">
      <c r="A562" s="50"/>
      <c r="B562" s="50"/>
      <c r="C562" s="45"/>
      <c r="D562" s="66"/>
      <c r="H562" s="67"/>
    </row>
    <row r="563">
      <c r="A563" s="50"/>
      <c r="B563" s="50"/>
      <c r="C563" s="45"/>
      <c r="D563" s="66"/>
      <c r="H563" s="67"/>
    </row>
    <row r="564">
      <c r="A564" s="50"/>
      <c r="B564" s="50"/>
      <c r="C564" s="45"/>
      <c r="D564" s="66"/>
      <c r="H564" s="67"/>
    </row>
    <row r="565">
      <c r="A565" s="50"/>
      <c r="B565" s="50"/>
      <c r="C565" s="45"/>
      <c r="D565" s="66"/>
      <c r="H565" s="67"/>
    </row>
    <row r="566">
      <c r="A566" s="50"/>
      <c r="B566" s="50"/>
      <c r="C566" s="45"/>
      <c r="D566" s="66"/>
      <c r="H566" s="67"/>
    </row>
    <row r="567">
      <c r="A567" s="50"/>
      <c r="B567" s="50"/>
      <c r="C567" s="45"/>
      <c r="D567" s="66"/>
      <c r="H567" s="67"/>
    </row>
    <row r="568">
      <c r="A568" s="50"/>
      <c r="B568" s="50"/>
      <c r="C568" s="45"/>
      <c r="D568" s="66"/>
      <c r="H568" s="67"/>
    </row>
    <row r="569">
      <c r="A569" s="50"/>
      <c r="B569" s="50"/>
      <c r="C569" s="45"/>
      <c r="D569" s="66"/>
      <c r="H569" s="67"/>
    </row>
    <row r="570">
      <c r="A570" s="50"/>
      <c r="B570" s="50"/>
      <c r="C570" s="45"/>
      <c r="D570" s="66"/>
      <c r="H570" s="67"/>
    </row>
    <row r="571">
      <c r="A571" s="50"/>
      <c r="B571" s="50"/>
      <c r="C571" s="45"/>
      <c r="D571" s="66"/>
      <c r="H571" s="67"/>
    </row>
    <row r="572">
      <c r="A572" s="50"/>
      <c r="B572" s="50"/>
      <c r="C572" s="45"/>
      <c r="D572" s="66"/>
      <c r="H572" s="67"/>
    </row>
    <row r="573">
      <c r="A573" s="50"/>
      <c r="B573" s="50"/>
      <c r="C573" s="45"/>
      <c r="D573" s="66"/>
      <c r="H573" s="67"/>
    </row>
    <row r="574">
      <c r="A574" s="50"/>
      <c r="B574" s="50"/>
      <c r="C574" s="45"/>
      <c r="D574" s="66"/>
      <c r="H574" s="67"/>
    </row>
    <row r="575">
      <c r="A575" s="50"/>
      <c r="B575" s="50"/>
      <c r="C575" s="45"/>
      <c r="D575" s="66"/>
      <c r="H575" s="67"/>
    </row>
    <row r="576">
      <c r="A576" s="50"/>
      <c r="B576" s="50"/>
      <c r="C576" s="45"/>
      <c r="D576" s="66"/>
      <c r="H576" s="67"/>
    </row>
    <row r="577">
      <c r="A577" s="50"/>
      <c r="B577" s="50"/>
      <c r="C577" s="45"/>
      <c r="D577" s="66"/>
      <c r="H577" s="67"/>
    </row>
    <row r="578">
      <c r="A578" s="50"/>
      <c r="B578" s="50"/>
      <c r="C578" s="45"/>
      <c r="D578" s="66"/>
      <c r="H578" s="67"/>
    </row>
    <row r="579">
      <c r="A579" s="50"/>
      <c r="B579" s="50"/>
      <c r="C579" s="45"/>
      <c r="D579" s="66"/>
      <c r="H579" s="67"/>
    </row>
    <row r="580">
      <c r="A580" s="50"/>
      <c r="B580" s="50"/>
      <c r="C580" s="45"/>
      <c r="D580" s="66"/>
      <c r="H580" s="67"/>
    </row>
    <row r="581">
      <c r="A581" s="50"/>
      <c r="B581" s="50"/>
      <c r="C581" s="45"/>
      <c r="D581" s="66"/>
      <c r="H581" s="67"/>
    </row>
    <row r="582">
      <c r="A582" s="50"/>
      <c r="B582" s="50"/>
      <c r="C582" s="45"/>
      <c r="D582" s="66"/>
      <c r="H582" s="67"/>
    </row>
    <row r="583">
      <c r="A583" s="50"/>
      <c r="B583" s="50"/>
      <c r="C583" s="45"/>
      <c r="D583" s="66"/>
      <c r="H583" s="67"/>
    </row>
    <row r="584">
      <c r="A584" s="50"/>
      <c r="B584" s="50"/>
      <c r="C584" s="45"/>
      <c r="D584" s="66"/>
      <c r="H584" s="67"/>
    </row>
    <row r="585">
      <c r="A585" s="50"/>
      <c r="B585" s="50"/>
      <c r="C585" s="45"/>
      <c r="D585" s="66"/>
      <c r="H585" s="67"/>
    </row>
    <row r="586">
      <c r="A586" s="50"/>
      <c r="B586" s="50"/>
      <c r="C586" s="45"/>
      <c r="D586" s="66"/>
      <c r="H586" s="67"/>
    </row>
    <row r="587">
      <c r="A587" s="50"/>
      <c r="B587" s="50"/>
      <c r="C587" s="45"/>
      <c r="D587" s="66"/>
      <c r="H587" s="67"/>
    </row>
    <row r="588">
      <c r="A588" s="50"/>
      <c r="B588" s="50"/>
      <c r="C588" s="45"/>
      <c r="D588" s="66"/>
      <c r="H588" s="67"/>
    </row>
    <row r="589">
      <c r="A589" s="50"/>
      <c r="B589" s="50"/>
      <c r="C589" s="45"/>
      <c r="D589" s="66"/>
      <c r="H589" s="67"/>
    </row>
    <row r="590">
      <c r="A590" s="50"/>
      <c r="B590" s="50"/>
      <c r="C590" s="45"/>
      <c r="D590" s="66"/>
      <c r="H590" s="67"/>
    </row>
    <row r="591">
      <c r="A591" s="50"/>
      <c r="B591" s="50"/>
      <c r="C591" s="45"/>
      <c r="D591" s="66"/>
      <c r="H591" s="67"/>
    </row>
    <row r="592">
      <c r="A592" s="50"/>
      <c r="B592" s="50"/>
      <c r="C592" s="45"/>
      <c r="D592" s="66"/>
      <c r="H592" s="67"/>
    </row>
    <row r="593">
      <c r="A593" s="50"/>
      <c r="B593" s="50"/>
      <c r="C593" s="45"/>
      <c r="D593" s="66"/>
      <c r="H593" s="67"/>
    </row>
    <row r="594">
      <c r="A594" s="50"/>
      <c r="B594" s="50"/>
      <c r="C594" s="45"/>
      <c r="D594" s="66"/>
      <c r="H594" s="67"/>
    </row>
    <row r="595">
      <c r="A595" s="50"/>
      <c r="B595" s="50"/>
      <c r="C595" s="45"/>
      <c r="D595" s="66"/>
      <c r="H595" s="67"/>
    </row>
    <row r="596">
      <c r="A596" s="50"/>
      <c r="B596" s="50"/>
      <c r="C596" s="45"/>
      <c r="D596" s="66"/>
      <c r="H596" s="67"/>
    </row>
    <row r="597">
      <c r="A597" s="50"/>
      <c r="B597" s="50"/>
      <c r="C597" s="45"/>
      <c r="D597" s="66"/>
      <c r="H597" s="67"/>
    </row>
    <row r="598">
      <c r="A598" s="50"/>
      <c r="B598" s="50"/>
      <c r="C598" s="45"/>
      <c r="D598" s="66"/>
      <c r="H598" s="67"/>
    </row>
    <row r="599">
      <c r="A599" s="50"/>
      <c r="B599" s="50"/>
      <c r="C599" s="45"/>
      <c r="D599" s="66"/>
      <c r="H599" s="67"/>
    </row>
    <row r="600">
      <c r="A600" s="50"/>
      <c r="B600" s="50"/>
      <c r="C600" s="45"/>
      <c r="D600" s="66"/>
      <c r="H600" s="67"/>
    </row>
    <row r="601">
      <c r="A601" s="50"/>
      <c r="B601" s="50"/>
      <c r="C601" s="45"/>
      <c r="D601" s="66"/>
      <c r="H601" s="67"/>
    </row>
    <row r="602">
      <c r="A602" s="50"/>
      <c r="B602" s="50"/>
      <c r="C602" s="45"/>
      <c r="D602" s="66"/>
      <c r="H602" s="67"/>
    </row>
    <row r="603">
      <c r="A603" s="50"/>
      <c r="B603" s="50"/>
      <c r="C603" s="45"/>
      <c r="D603" s="66"/>
      <c r="H603" s="67"/>
    </row>
    <row r="604">
      <c r="A604" s="50"/>
      <c r="B604" s="50"/>
      <c r="C604" s="45"/>
      <c r="D604" s="66"/>
      <c r="H604" s="67"/>
    </row>
    <row r="605">
      <c r="A605" s="50"/>
      <c r="B605" s="50"/>
      <c r="C605" s="45"/>
      <c r="D605" s="66"/>
      <c r="H605" s="67"/>
    </row>
    <row r="606">
      <c r="A606" s="50"/>
      <c r="B606" s="50"/>
      <c r="C606" s="45"/>
      <c r="D606" s="66"/>
      <c r="H606" s="67"/>
    </row>
    <row r="607">
      <c r="A607" s="50"/>
      <c r="B607" s="50"/>
      <c r="C607" s="45"/>
      <c r="D607" s="66"/>
      <c r="H607" s="67"/>
    </row>
    <row r="608">
      <c r="A608" s="50"/>
      <c r="B608" s="50"/>
      <c r="C608" s="45"/>
      <c r="D608" s="66"/>
      <c r="H608" s="67"/>
    </row>
    <row r="609">
      <c r="A609" s="50"/>
      <c r="B609" s="50"/>
      <c r="C609" s="45"/>
      <c r="D609" s="66"/>
      <c r="H609" s="67"/>
    </row>
    <row r="610">
      <c r="A610" s="50"/>
      <c r="B610" s="50"/>
      <c r="C610" s="45"/>
      <c r="D610" s="66"/>
      <c r="H610" s="67"/>
    </row>
    <row r="611">
      <c r="A611" s="50"/>
      <c r="B611" s="50"/>
      <c r="C611" s="45"/>
      <c r="D611" s="66"/>
      <c r="H611" s="67"/>
    </row>
    <row r="612">
      <c r="A612" s="50"/>
      <c r="B612" s="50"/>
      <c r="C612" s="45"/>
      <c r="D612" s="66"/>
      <c r="H612" s="67"/>
    </row>
    <row r="613">
      <c r="A613" s="50"/>
      <c r="B613" s="50"/>
      <c r="C613" s="45"/>
      <c r="D613" s="66"/>
      <c r="H613" s="67"/>
    </row>
    <row r="614">
      <c r="A614" s="50"/>
      <c r="B614" s="50"/>
      <c r="C614" s="45"/>
      <c r="D614" s="66"/>
      <c r="H614" s="67"/>
    </row>
    <row r="615">
      <c r="A615" s="50"/>
      <c r="B615" s="50"/>
      <c r="C615" s="45"/>
      <c r="D615" s="66"/>
      <c r="H615" s="67"/>
    </row>
    <row r="616">
      <c r="A616" s="50"/>
      <c r="B616" s="50"/>
      <c r="C616" s="45"/>
      <c r="D616" s="66"/>
      <c r="H616" s="67"/>
    </row>
    <row r="617">
      <c r="A617" s="50"/>
      <c r="B617" s="50"/>
      <c r="C617" s="45"/>
      <c r="D617" s="66"/>
      <c r="H617" s="67"/>
    </row>
    <row r="618">
      <c r="A618" s="50"/>
      <c r="B618" s="50"/>
      <c r="C618" s="45"/>
      <c r="D618" s="66"/>
      <c r="H618" s="67"/>
    </row>
    <row r="619">
      <c r="A619" s="50"/>
      <c r="B619" s="50"/>
      <c r="C619" s="45"/>
      <c r="D619" s="66"/>
      <c r="H619" s="67"/>
    </row>
    <row r="620">
      <c r="A620" s="50"/>
      <c r="B620" s="50"/>
      <c r="C620" s="45"/>
      <c r="D620" s="66"/>
      <c r="H620" s="67"/>
    </row>
    <row r="621">
      <c r="A621" s="50"/>
      <c r="B621" s="50"/>
      <c r="C621" s="45"/>
      <c r="D621" s="66"/>
      <c r="H621" s="67"/>
    </row>
    <row r="622">
      <c r="A622" s="50"/>
      <c r="B622" s="50"/>
      <c r="C622" s="45"/>
      <c r="D622" s="66"/>
      <c r="H622" s="67"/>
    </row>
    <row r="623">
      <c r="A623" s="50"/>
      <c r="B623" s="50"/>
      <c r="C623" s="45"/>
      <c r="D623" s="66"/>
      <c r="H623" s="67"/>
    </row>
    <row r="624">
      <c r="A624" s="50"/>
      <c r="B624" s="50"/>
      <c r="C624" s="45"/>
      <c r="D624" s="66"/>
      <c r="H624" s="67"/>
    </row>
    <row r="625">
      <c r="A625" s="50"/>
      <c r="B625" s="50"/>
      <c r="C625" s="45"/>
      <c r="D625" s="66"/>
      <c r="H625" s="67"/>
    </row>
    <row r="626">
      <c r="A626" s="50"/>
      <c r="B626" s="50"/>
      <c r="C626" s="45"/>
      <c r="D626" s="66"/>
      <c r="H626" s="67"/>
    </row>
    <row r="627">
      <c r="A627" s="50"/>
      <c r="B627" s="50"/>
      <c r="C627" s="45"/>
      <c r="D627" s="66"/>
      <c r="H627" s="67"/>
    </row>
    <row r="628">
      <c r="A628" s="50"/>
      <c r="B628" s="50"/>
      <c r="C628" s="45"/>
      <c r="D628" s="66"/>
      <c r="H628" s="67"/>
    </row>
    <row r="629">
      <c r="A629" s="50"/>
      <c r="B629" s="50"/>
      <c r="C629" s="45"/>
      <c r="D629" s="66"/>
      <c r="H629" s="67"/>
    </row>
    <row r="630">
      <c r="A630" s="50"/>
      <c r="B630" s="50"/>
      <c r="C630" s="45"/>
      <c r="D630" s="66"/>
      <c r="H630" s="67"/>
    </row>
    <row r="631">
      <c r="A631" s="50"/>
      <c r="B631" s="50"/>
      <c r="C631" s="45"/>
      <c r="D631" s="66"/>
      <c r="H631" s="67"/>
    </row>
    <row r="632">
      <c r="A632" s="50"/>
      <c r="B632" s="50"/>
      <c r="C632" s="45"/>
      <c r="D632" s="66"/>
      <c r="H632" s="67"/>
    </row>
    <row r="633">
      <c r="A633" s="50"/>
      <c r="B633" s="50"/>
      <c r="C633" s="45"/>
      <c r="D633" s="66"/>
      <c r="H633" s="67"/>
    </row>
    <row r="634">
      <c r="A634" s="50"/>
      <c r="B634" s="50"/>
      <c r="C634" s="45"/>
      <c r="D634" s="66"/>
      <c r="H634" s="67"/>
    </row>
    <row r="635">
      <c r="A635" s="50"/>
      <c r="B635" s="50"/>
      <c r="C635" s="45"/>
      <c r="D635" s="66"/>
      <c r="H635" s="67"/>
    </row>
    <row r="636">
      <c r="A636" s="50"/>
      <c r="B636" s="50"/>
      <c r="C636" s="45"/>
      <c r="D636" s="66"/>
      <c r="H636" s="67"/>
    </row>
    <row r="637">
      <c r="A637" s="50"/>
      <c r="B637" s="50"/>
      <c r="C637" s="45"/>
      <c r="D637" s="66"/>
      <c r="H637" s="67"/>
    </row>
    <row r="638">
      <c r="A638" s="50"/>
      <c r="B638" s="50"/>
      <c r="C638" s="45"/>
      <c r="D638" s="66"/>
      <c r="H638" s="67"/>
    </row>
    <row r="639">
      <c r="A639" s="50"/>
      <c r="B639" s="50"/>
      <c r="C639" s="45"/>
      <c r="D639" s="66"/>
      <c r="H639" s="67"/>
    </row>
    <row r="640">
      <c r="A640" s="50"/>
      <c r="B640" s="50"/>
      <c r="C640" s="45"/>
      <c r="D640" s="66"/>
      <c r="H640" s="67"/>
    </row>
    <row r="641">
      <c r="A641" s="50"/>
      <c r="B641" s="50"/>
      <c r="C641" s="45"/>
      <c r="D641" s="66"/>
      <c r="H641" s="67"/>
    </row>
    <row r="642">
      <c r="A642" s="50"/>
      <c r="B642" s="50"/>
      <c r="C642" s="45"/>
      <c r="D642" s="66"/>
      <c r="H642" s="67"/>
    </row>
    <row r="643">
      <c r="A643" s="50"/>
      <c r="B643" s="50"/>
      <c r="C643" s="45"/>
      <c r="D643" s="66"/>
      <c r="H643" s="67"/>
    </row>
    <row r="644">
      <c r="A644" s="50"/>
      <c r="B644" s="50"/>
      <c r="C644" s="45"/>
      <c r="D644" s="66"/>
      <c r="H644" s="67"/>
    </row>
    <row r="645">
      <c r="A645" s="50"/>
      <c r="B645" s="50"/>
      <c r="C645" s="45"/>
      <c r="D645" s="66"/>
      <c r="H645" s="67"/>
    </row>
    <row r="646">
      <c r="A646" s="50"/>
      <c r="B646" s="50"/>
      <c r="C646" s="45"/>
      <c r="D646" s="66"/>
      <c r="H646" s="67"/>
    </row>
    <row r="647">
      <c r="A647" s="50"/>
      <c r="B647" s="50"/>
      <c r="C647" s="45"/>
      <c r="D647" s="66"/>
      <c r="H647" s="67"/>
    </row>
    <row r="648">
      <c r="A648" s="50"/>
      <c r="B648" s="50"/>
      <c r="C648" s="45"/>
      <c r="D648" s="66"/>
      <c r="H648" s="67"/>
    </row>
    <row r="649">
      <c r="A649" s="50"/>
      <c r="B649" s="50"/>
      <c r="C649" s="45"/>
      <c r="D649" s="66"/>
      <c r="H649" s="67"/>
    </row>
    <row r="650">
      <c r="A650" s="50"/>
      <c r="B650" s="50"/>
      <c r="C650" s="45"/>
      <c r="D650" s="66"/>
      <c r="H650" s="67"/>
    </row>
    <row r="651">
      <c r="A651" s="50"/>
      <c r="B651" s="50"/>
      <c r="C651" s="45"/>
      <c r="D651" s="66"/>
      <c r="H651" s="67"/>
    </row>
    <row r="652">
      <c r="A652" s="50"/>
      <c r="B652" s="50"/>
      <c r="C652" s="45"/>
      <c r="D652" s="66"/>
      <c r="H652" s="67"/>
    </row>
    <row r="653">
      <c r="A653" s="50"/>
      <c r="B653" s="50"/>
      <c r="C653" s="45"/>
      <c r="D653" s="66"/>
      <c r="H653" s="67"/>
    </row>
    <row r="654">
      <c r="A654" s="50"/>
      <c r="B654" s="50"/>
      <c r="C654" s="45"/>
      <c r="D654" s="66"/>
      <c r="H654" s="67"/>
    </row>
    <row r="655">
      <c r="A655" s="50"/>
      <c r="B655" s="50"/>
      <c r="C655" s="45"/>
      <c r="D655" s="66"/>
      <c r="H655" s="67"/>
    </row>
    <row r="656">
      <c r="A656" s="50"/>
      <c r="B656" s="50"/>
      <c r="C656" s="45"/>
      <c r="D656" s="66"/>
      <c r="H656" s="67"/>
    </row>
    <row r="657">
      <c r="A657" s="50"/>
      <c r="B657" s="50"/>
      <c r="C657" s="45"/>
      <c r="D657" s="66"/>
      <c r="H657" s="67"/>
    </row>
    <row r="658">
      <c r="A658" s="50"/>
      <c r="B658" s="50"/>
      <c r="C658" s="45"/>
      <c r="D658" s="66"/>
      <c r="H658" s="67"/>
    </row>
    <row r="659">
      <c r="A659" s="50"/>
      <c r="B659" s="50"/>
      <c r="C659" s="45"/>
      <c r="D659" s="66"/>
      <c r="H659" s="67"/>
    </row>
    <row r="660">
      <c r="A660" s="50"/>
      <c r="B660" s="50"/>
      <c r="C660" s="45"/>
      <c r="D660" s="66"/>
      <c r="H660" s="67"/>
    </row>
    <row r="661">
      <c r="A661" s="50"/>
      <c r="B661" s="50"/>
      <c r="C661" s="45"/>
      <c r="D661" s="66"/>
      <c r="H661" s="67"/>
    </row>
    <row r="662">
      <c r="A662" s="50"/>
      <c r="B662" s="50"/>
      <c r="C662" s="45"/>
      <c r="D662" s="66"/>
      <c r="H662" s="67"/>
    </row>
    <row r="663">
      <c r="A663" s="50"/>
      <c r="B663" s="50"/>
      <c r="C663" s="45"/>
      <c r="D663" s="66"/>
      <c r="H663" s="67"/>
    </row>
    <row r="664">
      <c r="A664" s="50"/>
      <c r="B664" s="50"/>
      <c r="C664" s="45"/>
      <c r="D664" s="66"/>
      <c r="H664" s="67"/>
    </row>
    <row r="665">
      <c r="A665" s="50"/>
      <c r="B665" s="50"/>
      <c r="C665" s="45"/>
      <c r="D665" s="66"/>
      <c r="H665" s="67"/>
    </row>
    <row r="666">
      <c r="A666" s="50"/>
      <c r="B666" s="50"/>
      <c r="C666" s="45"/>
      <c r="D666" s="66"/>
      <c r="H666" s="67"/>
    </row>
    <row r="667">
      <c r="A667" s="50"/>
      <c r="B667" s="50"/>
      <c r="C667" s="45"/>
      <c r="D667" s="66"/>
      <c r="H667" s="67"/>
    </row>
    <row r="668">
      <c r="A668" s="50"/>
      <c r="B668" s="50"/>
      <c r="C668" s="45"/>
      <c r="D668" s="66"/>
      <c r="H668" s="67"/>
    </row>
    <row r="669">
      <c r="A669" s="50"/>
      <c r="B669" s="50"/>
      <c r="C669" s="45"/>
      <c r="D669" s="66"/>
      <c r="H669" s="67"/>
    </row>
    <row r="670">
      <c r="A670" s="50"/>
      <c r="B670" s="50"/>
      <c r="C670" s="45"/>
      <c r="D670" s="66"/>
      <c r="H670" s="67"/>
    </row>
    <row r="671">
      <c r="A671" s="50"/>
      <c r="B671" s="50"/>
      <c r="C671" s="45"/>
      <c r="D671" s="66"/>
      <c r="H671" s="67"/>
    </row>
    <row r="672">
      <c r="A672" s="50"/>
      <c r="B672" s="50"/>
      <c r="C672" s="45"/>
      <c r="D672" s="66"/>
      <c r="H672" s="67"/>
    </row>
    <row r="673">
      <c r="A673" s="50"/>
      <c r="B673" s="50"/>
      <c r="C673" s="45"/>
      <c r="D673" s="66"/>
      <c r="H673" s="67"/>
    </row>
    <row r="674">
      <c r="A674" s="50"/>
      <c r="B674" s="50"/>
      <c r="C674" s="45"/>
      <c r="D674" s="66"/>
      <c r="H674" s="67"/>
    </row>
    <row r="675">
      <c r="A675" s="50"/>
      <c r="B675" s="50"/>
      <c r="C675" s="45"/>
      <c r="D675" s="66"/>
      <c r="H675" s="67"/>
    </row>
    <row r="676">
      <c r="A676" s="50"/>
      <c r="B676" s="50"/>
      <c r="C676" s="45"/>
      <c r="D676" s="66"/>
      <c r="H676" s="67"/>
    </row>
    <row r="677">
      <c r="A677" s="50"/>
      <c r="B677" s="50"/>
      <c r="C677" s="45"/>
      <c r="D677" s="66"/>
      <c r="H677" s="67"/>
    </row>
    <row r="678">
      <c r="A678" s="50"/>
      <c r="B678" s="50"/>
      <c r="C678" s="45"/>
      <c r="D678" s="66"/>
      <c r="H678" s="67"/>
    </row>
    <row r="679">
      <c r="A679" s="50"/>
      <c r="B679" s="50"/>
      <c r="C679" s="45"/>
      <c r="D679" s="66"/>
      <c r="H679" s="67"/>
    </row>
    <row r="680">
      <c r="A680" s="50"/>
      <c r="B680" s="50"/>
      <c r="C680" s="45"/>
      <c r="D680" s="66"/>
      <c r="H680" s="67"/>
    </row>
    <row r="681">
      <c r="A681" s="50"/>
      <c r="B681" s="50"/>
      <c r="C681" s="45"/>
      <c r="D681" s="66"/>
      <c r="H681" s="67"/>
    </row>
    <row r="682">
      <c r="A682" s="50"/>
      <c r="B682" s="50"/>
      <c r="C682" s="45"/>
      <c r="D682" s="66"/>
      <c r="H682" s="67"/>
    </row>
    <row r="683">
      <c r="A683" s="50"/>
      <c r="B683" s="50"/>
      <c r="C683" s="45"/>
      <c r="D683" s="66"/>
      <c r="H683" s="67"/>
    </row>
    <row r="684">
      <c r="A684" s="50"/>
      <c r="B684" s="50"/>
      <c r="C684" s="45"/>
      <c r="D684" s="66"/>
      <c r="H684" s="67"/>
    </row>
    <row r="685">
      <c r="A685" s="50"/>
      <c r="B685" s="50"/>
      <c r="C685" s="45"/>
      <c r="D685" s="66"/>
      <c r="H685" s="67"/>
    </row>
    <row r="686">
      <c r="A686" s="50"/>
      <c r="B686" s="50"/>
      <c r="C686" s="45"/>
      <c r="D686" s="66"/>
      <c r="H686" s="67"/>
    </row>
    <row r="687">
      <c r="A687" s="50"/>
      <c r="B687" s="50"/>
      <c r="C687" s="45"/>
      <c r="D687" s="66"/>
      <c r="H687" s="67"/>
    </row>
    <row r="688">
      <c r="A688" s="50"/>
      <c r="B688" s="50"/>
      <c r="C688" s="45"/>
      <c r="D688" s="66"/>
      <c r="H688" s="67"/>
    </row>
    <row r="689">
      <c r="A689" s="50"/>
      <c r="B689" s="50"/>
      <c r="C689" s="45"/>
      <c r="D689" s="66"/>
      <c r="H689" s="67"/>
    </row>
    <row r="690">
      <c r="A690" s="50"/>
      <c r="B690" s="50"/>
      <c r="C690" s="45"/>
      <c r="D690" s="66"/>
      <c r="H690" s="67"/>
    </row>
    <row r="691">
      <c r="A691" s="50"/>
      <c r="B691" s="50"/>
      <c r="C691" s="45"/>
      <c r="D691" s="66"/>
      <c r="H691" s="67"/>
    </row>
    <row r="692">
      <c r="A692" s="50"/>
      <c r="B692" s="50"/>
      <c r="C692" s="45"/>
      <c r="D692" s="66"/>
      <c r="H692" s="67"/>
    </row>
    <row r="693">
      <c r="A693" s="50"/>
      <c r="B693" s="50"/>
      <c r="C693" s="45"/>
      <c r="D693" s="66"/>
      <c r="H693" s="67"/>
    </row>
    <row r="694">
      <c r="A694" s="50"/>
      <c r="B694" s="50"/>
      <c r="C694" s="45"/>
      <c r="D694" s="66"/>
      <c r="H694" s="67"/>
    </row>
    <row r="695">
      <c r="A695" s="50"/>
      <c r="B695" s="50"/>
      <c r="C695" s="45"/>
      <c r="D695" s="66"/>
      <c r="H695" s="67"/>
    </row>
    <row r="696">
      <c r="A696" s="50"/>
      <c r="B696" s="50"/>
      <c r="C696" s="45"/>
      <c r="D696" s="66"/>
      <c r="H696" s="67"/>
    </row>
    <row r="697">
      <c r="A697" s="50"/>
      <c r="B697" s="50"/>
      <c r="C697" s="45"/>
      <c r="D697" s="66"/>
      <c r="H697" s="67"/>
    </row>
    <row r="698">
      <c r="A698" s="50"/>
      <c r="B698" s="50"/>
      <c r="C698" s="45"/>
      <c r="D698" s="66"/>
      <c r="H698" s="67"/>
    </row>
    <row r="699">
      <c r="A699" s="50"/>
      <c r="B699" s="50"/>
      <c r="C699" s="45"/>
      <c r="D699" s="66"/>
      <c r="H699" s="67"/>
    </row>
    <row r="700">
      <c r="A700" s="50"/>
      <c r="B700" s="50"/>
      <c r="C700" s="45"/>
      <c r="D700" s="66"/>
      <c r="H700" s="67"/>
    </row>
    <row r="701">
      <c r="A701" s="50"/>
      <c r="B701" s="50"/>
      <c r="C701" s="45"/>
      <c r="D701" s="66"/>
      <c r="H701" s="67"/>
    </row>
    <row r="702">
      <c r="A702" s="50"/>
      <c r="B702" s="50"/>
      <c r="C702" s="45"/>
      <c r="D702" s="66"/>
      <c r="H702" s="67"/>
    </row>
    <row r="703">
      <c r="A703" s="50"/>
      <c r="B703" s="50"/>
      <c r="C703" s="45"/>
      <c r="D703" s="66"/>
      <c r="H703" s="67"/>
    </row>
    <row r="704">
      <c r="A704" s="50"/>
      <c r="B704" s="50"/>
      <c r="C704" s="45"/>
      <c r="D704" s="66"/>
      <c r="H704" s="67"/>
    </row>
    <row r="705">
      <c r="A705" s="50"/>
      <c r="B705" s="50"/>
      <c r="C705" s="45"/>
      <c r="D705" s="66"/>
      <c r="H705" s="67"/>
    </row>
    <row r="706">
      <c r="A706" s="50"/>
      <c r="B706" s="50"/>
      <c r="C706" s="45"/>
      <c r="D706" s="66"/>
      <c r="H706" s="67"/>
    </row>
    <row r="707">
      <c r="A707" s="50"/>
      <c r="B707" s="50"/>
      <c r="C707" s="45"/>
      <c r="D707" s="66"/>
      <c r="H707" s="67"/>
    </row>
    <row r="708">
      <c r="A708" s="50"/>
      <c r="B708" s="50"/>
      <c r="C708" s="45"/>
      <c r="D708" s="66"/>
      <c r="H708" s="67"/>
    </row>
    <row r="709">
      <c r="A709" s="50"/>
      <c r="B709" s="50"/>
      <c r="C709" s="45"/>
      <c r="D709" s="66"/>
      <c r="H709" s="67"/>
    </row>
    <row r="710">
      <c r="A710" s="50"/>
      <c r="B710" s="50"/>
      <c r="C710" s="45"/>
      <c r="D710" s="66"/>
      <c r="H710" s="67"/>
    </row>
    <row r="711">
      <c r="A711" s="50"/>
      <c r="B711" s="50"/>
      <c r="C711" s="45"/>
      <c r="D711" s="66"/>
      <c r="H711" s="67"/>
    </row>
    <row r="712">
      <c r="A712" s="50"/>
      <c r="B712" s="50"/>
      <c r="C712" s="45"/>
      <c r="D712" s="66"/>
      <c r="H712" s="67"/>
    </row>
    <row r="713">
      <c r="A713" s="50"/>
      <c r="B713" s="50"/>
      <c r="C713" s="45"/>
      <c r="D713" s="66"/>
      <c r="H713" s="67"/>
    </row>
    <row r="714">
      <c r="A714" s="50"/>
      <c r="B714" s="50"/>
      <c r="C714" s="45"/>
      <c r="D714" s="66"/>
      <c r="H714" s="67"/>
    </row>
    <row r="715">
      <c r="A715" s="50"/>
      <c r="B715" s="50"/>
      <c r="C715" s="45"/>
      <c r="D715" s="66"/>
      <c r="H715" s="67"/>
    </row>
    <row r="716">
      <c r="A716" s="50"/>
      <c r="B716" s="50"/>
      <c r="C716" s="45"/>
      <c r="D716" s="66"/>
      <c r="H716" s="67"/>
    </row>
    <row r="717">
      <c r="A717" s="50"/>
      <c r="B717" s="50"/>
      <c r="C717" s="45"/>
      <c r="D717" s="66"/>
      <c r="H717" s="67"/>
    </row>
    <row r="718">
      <c r="A718" s="50"/>
      <c r="B718" s="50"/>
      <c r="C718" s="45"/>
      <c r="D718" s="66"/>
      <c r="H718" s="67"/>
    </row>
    <row r="719">
      <c r="A719" s="50"/>
      <c r="B719" s="50"/>
      <c r="C719" s="45"/>
      <c r="D719" s="66"/>
      <c r="H719" s="67"/>
    </row>
    <row r="720">
      <c r="A720" s="50"/>
      <c r="B720" s="50"/>
      <c r="C720" s="45"/>
      <c r="D720" s="66"/>
      <c r="H720" s="67"/>
    </row>
    <row r="721">
      <c r="A721" s="50"/>
      <c r="B721" s="50"/>
      <c r="C721" s="45"/>
      <c r="D721" s="66"/>
      <c r="H721" s="67"/>
    </row>
    <row r="722">
      <c r="A722" s="50"/>
      <c r="B722" s="50"/>
      <c r="C722" s="45"/>
      <c r="D722" s="66"/>
      <c r="H722" s="67"/>
    </row>
    <row r="723">
      <c r="A723" s="50"/>
      <c r="B723" s="50"/>
      <c r="C723" s="45"/>
      <c r="D723" s="66"/>
      <c r="H723" s="67"/>
    </row>
    <row r="724">
      <c r="A724" s="50"/>
      <c r="B724" s="50"/>
      <c r="C724" s="45"/>
      <c r="D724" s="66"/>
      <c r="H724" s="67"/>
    </row>
    <row r="725">
      <c r="A725" s="50"/>
      <c r="B725" s="50"/>
      <c r="C725" s="45"/>
      <c r="D725" s="66"/>
      <c r="H725" s="67"/>
    </row>
    <row r="726">
      <c r="A726" s="50"/>
      <c r="B726" s="50"/>
      <c r="C726" s="45"/>
      <c r="D726" s="66"/>
      <c r="H726" s="67"/>
    </row>
    <row r="727">
      <c r="A727" s="50"/>
      <c r="B727" s="50"/>
      <c r="C727" s="45"/>
      <c r="D727" s="66"/>
      <c r="H727" s="67"/>
    </row>
    <row r="728">
      <c r="A728" s="50"/>
      <c r="B728" s="50"/>
      <c r="C728" s="45"/>
      <c r="D728" s="66"/>
      <c r="H728" s="67"/>
    </row>
    <row r="729">
      <c r="A729" s="50"/>
      <c r="B729" s="50"/>
      <c r="C729" s="45"/>
      <c r="D729" s="66"/>
      <c r="H729" s="67"/>
    </row>
    <row r="730">
      <c r="A730" s="50"/>
      <c r="B730" s="50"/>
      <c r="C730" s="45"/>
      <c r="D730" s="66"/>
      <c r="H730" s="67"/>
    </row>
    <row r="731">
      <c r="A731" s="50"/>
      <c r="B731" s="50"/>
      <c r="C731" s="45"/>
      <c r="D731" s="66"/>
      <c r="H731" s="67"/>
    </row>
    <row r="732">
      <c r="A732" s="50"/>
      <c r="B732" s="50"/>
      <c r="C732" s="45"/>
      <c r="D732" s="66"/>
      <c r="H732" s="67"/>
    </row>
    <row r="733">
      <c r="A733" s="50"/>
      <c r="B733" s="50"/>
      <c r="C733" s="45"/>
      <c r="D733" s="66"/>
      <c r="H733" s="67"/>
    </row>
    <row r="734">
      <c r="A734" s="50"/>
      <c r="B734" s="50"/>
      <c r="C734" s="45"/>
      <c r="D734" s="66"/>
      <c r="H734" s="67"/>
    </row>
    <row r="735">
      <c r="A735" s="50"/>
      <c r="B735" s="50"/>
      <c r="C735" s="45"/>
      <c r="D735" s="66"/>
      <c r="H735" s="67"/>
    </row>
    <row r="736">
      <c r="A736" s="50"/>
      <c r="B736" s="50"/>
      <c r="C736" s="45"/>
      <c r="D736" s="66"/>
      <c r="H736" s="67"/>
    </row>
    <row r="737">
      <c r="A737" s="50"/>
      <c r="B737" s="50"/>
      <c r="C737" s="45"/>
      <c r="D737" s="66"/>
      <c r="H737" s="67"/>
    </row>
    <row r="738">
      <c r="A738" s="50"/>
      <c r="B738" s="50"/>
      <c r="C738" s="45"/>
      <c r="D738" s="66"/>
      <c r="H738" s="67"/>
    </row>
    <row r="739">
      <c r="A739" s="50"/>
      <c r="B739" s="50"/>
      <c r="C739" s="45"/>
      <c r="D739" s="66"/>
      <c r="H739" s="67"/>
    </row>
    <row r="740">
      <c r="A740" s="50"/>
      <c r="B740" s="50"/>
      <c r="C740" s="45"/>
      <c r="D740" s="66"/>
      <c r="H740" s="67"/>
    </row>
    <row r="741">
      <c r="A741" s="50"/>
      <c r="B741" s="50"/>
      <c r="C741" s="45"/>
      <c r="D741" s="66"/>
      <c r="H741" s="67"/>
    </row>
    <row r="742">
      <c r="A742" s="50"/>
      <c r="B742" s="50"/>
      <c r="C742" s="45"/>
      <c r="D742" s="66"/>
      <c r="H742" s="67"/>
    </row>
    <row r="743">
      <c r="A743" s="50"/>
      <c r="B743" s="50"/>
      <c r="C743" s="45"/>
      <c r="D743" s="66"/>
      <c r="H743" s="67"/>
    </row>
    <row r="744">
      <c r="A744" s="50"/>
      <c r="B744" s="50"/>
      <c r="C744" s="45"/>
      <c r="D744" s="66"/>
      <c r="H744" s="67"/>
    </row>
    <row r="745">
      <c r="A745" s="50"/>
      <c r="B745" s="50"/>
      <c r="C745" s="45"/>
      <c r="D745" s="66"/>
      <c r="H745" s="67"/>
    </row>
    <row r="746">
      <c r="A746" s="50"/>
      <c r="B746" s="50"/>
      <c r="C746" s="45"/>
      <c r="D746" s="66"/>
      <c r="H746" s="67"/>
    </row>
    <row r="747">
      <c r="A747" s="50"/>
      <c r="B747" s="50"/>
      <c r="C747" s="45"/>
      <c r="D747" s="66"/>
      <c r="H747" s="67"/>
    </row>
    <row r="748">
      <c r="A748" s="50"/>
      <c r="B748" s="50"/>
      <c r="C748" s="45"/>
      <c r="D748" s="66"/>
      <c r="H748" s="67"/>
    </row>
    <row r="749">
      <c r="A749" s="50"/>
      <c r="B749" s="50"/>
      <c r="C749" s="45"/>
      <c r="D749" s="66"/>
      <c r="H749" s="67"/>
    </row>
    <row r="750">
      <c r="A750" s="50"/>
      <c r="B750" s="50"/>
      <c r="C750" s="45"/>
      <c r="D750" s="66"/>
      <c r="H750" s="67"/>
    </row>
    <row r="751">
      <c r="A751" s="50"/>
      <c r="B751" s="50"/>
      <c r="C751" s="45"/>
      <c r="D751" s="66"/>
      <c r="H751" s="67"/>
    </row>
    <row r="752">
      <c r="A752" s="50"/>
      <c r="B752" s="50"/>
      <c r="C752" s="45"/>
      <c r="D752" s="66"/>
      <c r="H752" s="67"/>
    </row>
    <row r="753">
      <c r="A753" s="50"/>
      <c r="B753" s="50"/>
      <c r="C753" s="45"/>
      <c r="D753" s="66"/>
      <c r="H753" s="67"/>
    </row>
    <row r="754">
      <c r="A754" s="50"/>
      <c r="B754" s="50"/>
      <c r="C754" s="45"/>
      <c r="D754" s="66"/>
      <c r="H754" s="67"/>
    </row>
    <row r="755">
      <c r="A755" s="50"/>
      <c r="B755" s="50"/>
      <c r="C755" s="45"/>
      <c r="D755" s="66"/>
      <c r="H755" s="67"/>
    </row>
    <row r="756">
      <c r="A756" s="50"/>
      <c r="B756" s="50"/>
      <c r="C756" s="45"/>
      <c r="D756" s="66"/>
      <c r="H756" s="67"/>
    </row>
    <row r="757">
      <c r="A757" s="50"/>
      <c r="B757" s="50"/>
      <c r="C757" s="45"/>
      <c r="D757" s="66"/>
      <c r="H757" s="67"/>
    </row>
    <row r="758">
      <c r="A758" s="50"/>
      <c r="B758" s="50"/>
      <c r="C758" s="45"/>
      <c r="D758" s="66"/>
      <c r="H758" s="67"/>
    </row>
    <row r="759">
      <c r="A759" s="50"/>
      <c r="B759" s="50"/>
      <c r="C759" s="45"/>
      <c r="D759" s="66"/>
      <c r="H759" s="67"/>
    </row>
    <row r="760">
      <c r="A760" s="50"/>
      <c r="B760" s="50"/>
      <c r="C760" s="45"/>
      <c r="D760" s="66"/>
      <c r="H760" s="67"/>
    </row>
    <row r="761">
      <c r="A761" s="50"/>
      <c r="B761" s="50"/>
      <c r="C761" s="45"/>
      <c r="D761" s="66"/>
      <c r="H761" s="67"/>
    </row>
    <row r="762">
      <c r="A762" s="50"/>
      <c r="B762" s="50"/>
      <c r="C762" s="45"/>
      <c r="D762" s="66"/>
      <c r="H762" s="67"/>
    </row>
    <row r="763">
      <c r="A763" s="50"/>
      <c r="B763" s="50"/>
      <c r="C763" s="45"/>
      <c r="D763" s="66"/>
      <c r="H763" s="67"/>
    </row>
    <row r="764">
      <c r="A764" s="50"/>
      <c r="B764" s="50"/>
      <c r="C764" s="45"/>
      <c r="D764" s="66"/>
      <c r="H764" s="67"/>
    </row>
    <row r="765">
      <c r="A765" s="50"/>
      <c r="B765" s="50"/>
      <c r="C765" s="45"/>
      <c r="D765" s="66"/>
      <c r="H765" s="67"/>
    </row>
    <row r="766">
      <c r="A766" s="50"/>
      <c r="B766" s="50"/>
      <c r="C766" s="45"/>
      <c r="D766" s="66"/>
      <c r="H766" s="67"/>
    </row>
    <row r="767">
      <c r="A767" s="50"/>
      <c r="B767" s="50"/>
      <c r="C767" s="45"/>
      <c r="D767" s="66"/>
      <c r="H767" s="67"/>
    </row>
    <row r="768">
      <c r="A768" s="50"/>
      <c r="B768" s="50"/>
      <c r="C768" s="45"/>
      <c r="D768" s="66"/>
      <c r="H768" s="67"/>
    </row>
    <row r="769">
      <c r="A769" s="50"/>
      <c r="B769" s="50"/>
      <c r="C769" s="45"/>
      <c r="D769" s="66"/>
      <c r="H769" s="67"/>
    </row>
    <row r="770">
      <c r="A770" s="50"/>
      <c r="B770" s="50"/>
      <c r="C770" s="45"/>
      <c r="D770" s="66"/>
      <c r="H770" s="67"/>
    </row>
    <row r="771">
      <c r="A771" s="50"/>
      <c r="B771" s="50"/>
      <c r="C771" s="45"/>
      <c r="D771" s="66"/>
      <c r="H771" s="67"/>
    </row>
    <row r="772">
      <c r="A772" s="50"/>
      <c r="B772" s="50"/>
      <c r="C772" s="45"/>
      <c r="D772" s="66"/>
      <c r="H772" s="67"/>
    </row>
    <row r="773">
      <c r="A773" s="50"/>
      <c r="B773" s="50"/>
      <c r="C773" s="45"/>
      <c r="D773" s="66"/>
      <c r="H773" s="67"/>
    </row>
    <row r="774">
      <c r="A774" s="50"/>
      <c r="B774" s="50"/>
      <c r="C774" s="45"/>
      <c r="D774" s="66"/>
      <c r="H774" s="67"/>
    </row>
    <row r="775">
      <c r="A775" s="50"/>
      <c r="B775" s="50"/>
      <c r="C775" s="45"/>
      <c r="D775" s="66"/>
      <c r="H775" s="67"/>
    </row>
    <row r="776">
      <c r="A776" s="50"/>
      <c r="B776" s="50"/>
      <c r="C776" s="45"/>
      <c r="D776" s="66"/>
      <c r="H776" s="67"/>
    </row>
    <row r="777">
      <c r="A777" s="50"/>
      <c r="B777" s="50"/>
      <c r="C777" s="45"/>
      <c r="D777" s="66"/>
      <c r="H777" s="67"/>
    </row>
    <row r="778">
      <c r="A778" s="50"/>
      <c r="B778" s="50"/>
      <c r="C778" s="45"/>
      <c r="D778" s="66"/>
      <c r="H778" s="67"/>
    </row>
    <row r="779">
      <c r="A779" s="50"/>
      <c r="B779" s="50"/>
      <c r="C779" s="45"/>
      <c r="D779" s="66"/>
      <c r="H779" s="67"/>
    </row>
    <row r="780">
      <c r="A780" s="50"/>
      <c r="B780" s="50"/>
      <c r="C780" s="45"/>
      <c r="D780" s="66"/>
      <c r="H780" s="67"/>
    </row>
    <row r="781">
      <c r="A781" s="50"/>
      <c r="B781" s="50"/>
      <c r="C781" s="45"/>
      <c r="D781" s="66"/>
      <c r="H781" s="67"/>
    </row>
    <row r="782">
      <c r="A782" s="50"/>
      <c r="B782" s="50"/>
      <c r="C782" s="45"/>
      <c r="D782" s="66"/>
      <c r="H782" s="67"/>
    </row>
    <row r="783">
      <c r="A783" s="50"/>
      <c r="B783" s="50"/>
      <c r="C783" s="45"/>
      <c r="D783" s="66"/>
      <c r="H783" s="67"/>
    </row>
    <row r="784">
      <c r="A784" s="50"/>
      <c r="B784" s="50"/>
      <c r="C784" s="45"/>
      <c r="D784" s="66"/>
      <c r="H784" s="67"/>
    </row>
    <row r="785">
      <c r="A785" s="50"/>
      <c r="B785" s="50"/>
      <c r="C785" s="45"/>
      <c r="D785" s="66"/>
      <c r="H785" s="67"/>
    </row>
    <row r="786">
      <c r="A786" s="50"/>
      <c r="B786" s="50"/>
      <c r="C786" s="45"/>
      <c r="D786" s="66"/>
      <c r="H786" s="67"/>
    </row>
    <row r="787">
      <c r="A787" s="50"/>
      <c r="B787" s="50"/>
      <c r="C787" s="45"/>
      <c r="D787" s="66"/>
      <c r="H787" s="67"/>
    </row>
    <row r="788">
      <c r="A788" s="50"/>
      <c r="B788" s="50"/>
      <c r="C788" s="45"/>
      <c r="D788" s="66"/>
      <c r="H788" s="67"/>
    </row>
    <row r="789">
      <c r="A789" s="50"/>
      <c r="B789" s="50"/>
      <c r="C789" s="45"/>
      <c r="D789" s="66"/>
      <c r="H789" s="67"/>
    </row>
    <row r="790">
      <c r="A790" s="50"/>
      <c r="B790" s="50"/>
      <c r="C790" s="45"/>
      <c r="D790" s="66"/>
      <c r="H790" s="67"/>
    </row>
    <row r="791">
      <c r="A791" s="50"/>
      <c r="B791" s="50"/>
      <c r="C791" s="45"/>
      <c r="D791" s="66"/>
      <c r="H791" s="67"/>
    </row>
    <row r="792">
      <c r="A792" s="50"/>
      <c r="B792" s="50"/>
      <c r="C792" s="45"/>
      <c r="D792" s="66"/>
      <c r="H792" s="67"/>
    </row>
    <row r="793">
      <c r="A793" s="50"/>
      <c r="B793" s="50"/>
      <c r="C793" s="45"/>
      <c r="D793" s="66"/>
      <c r="H793" s="67"/>
    </row>
    <row r="794">
      <c r="A794" s="50"/>
      <c r="B794" s="50"/>
      <c r="C794" s="45"/>
      <c r="D794" s="66"/>
      <c r="H794" s="67"/>
    </row>
    <row r="795">
      <c r="A795" s="50"/>
      <c r="B795" s="50"/>
      <c r="C795" s="45"/>
      <c r="D795" s="66"/>
      <c r="H795" s="67"/>
    </row>
    <row r="796">
      <c r="A796" s="50"/>
      <c r="B796" s="50"/>
      <c r="C796" s="45"/>
      <c r="D796" s="66"/>
      <c r="H796" s="67"/>
    </row>
    <row r="797">
      <c r="A797" s="50"/>
      <c r="B797" s="50"/>
      <c r="C797" s="45"/>
      <c r="D797" s="66"/>
      <c r="H797" s="67"/>
    </row>
    <row r="798">
      <c r="A798" s="50"/>
      <c r="B798" s="50"/>
      <c r="C798" s="45"/>
      <c r="D798" s="66"/>
      <c r="H798" s="67"/>
    </row>
    <row r="799">
      <c r="A799" s="50"/>
      <c r="B799" s="50"/>
      <c r="C799" s="45"/>
      <c r="D799" s="66"/>
      <c r="H799" s="67"/>
    </row>
    <row r="800">
      <c r="A800" s="50"/>
      <c r="B800" s="50"/>
      <c r="C800" s="45"/>
      <c r="D800" s="66"/>
      <c r="H800" s="67"/>
    </row>
    <row r="801">
      <c r="A801" s="50"/>
      <c r="B801" s="50"/>
      <c r="C801" s="45"/>
      <c r="D801" s="66"/>
      <c r="H801" s="67"/>
    </row>
    <row r="802">
      <c r="A802" s="50"/>
      <c r="B802" s="50"/>
      <c r="C802" s="45"/>
      <c r="D802" s="66"/>
      <c r="H802" s="67"/>
    </row>
    <row r="803">
      <c r="A803" s="50"/>
      <c r="B803" s="50"/>
      <c r="C803" s="45"/>
      <c r="D803" s="66"/>
      <c r="H803" s="67"/>
    </row>
    <row r="804">
      <c r="A804" s="50"/>
      <c r="B804" s="50"/>
      <c r="C804" s="45"/>
      <c r="D804" s="66"/>
      <c r="H804" s="67"/>
    </row>
    <row r="805">
      <c r="A805" s="50"/>
      <c r="B805" s="50"/>
      <c r="C805" s="45"/>
      <c r="D805" s="66"/>
      <c r="H805" s="67"/>
    </row>
    <row r="806">
      <c r="A806" s="50"/>
      <c r="B806" s="50"/>
      <c r="C806" s="45"/>
      <c r="D806" s="66"/>
      <c r="H806" s="67"/>
    </row>
    <row r="807">
      <c r="A807" s="50"/>
      <c r="B807" s="50"/>
      <c r="C807" s="45"/>
      <c r="D807" s="66"/>
      <c r="H807" s="67"/>
    </row>
    <row r="808">
      <c r="A808" s="50"/>
      <c r="B808" s="50"/>
      <c r="C808" s="45"/>
      <c r="D808" s="66"/>
      <c r="H808" s="67"/>
    </row>
    <row r="809">
      <c r="A809" s="50"/>
      <c r="B809" s="50"/>
      <c r="C809" s="45"/>
      <c r="D809" s="66"/>
      <c r="H809" s="67"/>
    </row>
    <row r="810">
      <c r="A810" s="50"/>
      <c r="B810" s="50"/>
      <c r="C810" s="45"/>
      <c r="D810" s="66"/>
      <c r="H810" s="67"/>
    </row>
    <row r="811">
      <c r="A811" s="50"/>
      <c r="B811" s="50"/>
      <c r="C811" s="45"/>
      <c r="D811" s="66"/>
      <c r="H811" s="67"/>
    </row>
    <row r="812">
      <c r="A812" s="50"/>
      <c r="B812" s="50"/>
      <c r="C812" s="45"/>
      <c r="D812" s="66"/>
      <c r="H812" s="67"/>
    </row>
    <row r="813">
      <c r="A813" s="50"/>
      <c r="B813" s="50"/>
      <c r="C813" s="45"/>
      <c r="D813" s="66"/>
      <c r="H813" s="67"/>
    </row>
    <row r="814">
      <c r="A814" s="50"/>
      <c r="B814" s="50"/>
      <c r="C814" s="45"/>
      <c r="D814" s="66"/>
      <c r="H814" s="67"/>
    </row>
    <row r="815">
      <c r="A815" s="50"/>
      <c r="B815" s="50"/>
      <c r="C815" s="45"/>
      <c r="D815" s="66"/>
      <c r="H815" s="67"/>
    </row>
    <row r="816">
      <c r="A816" s="50"/>
      <c r="B816" s="50"/>
      <c r="C816" s="45"/>
      <c r="D816" s="66"/>
      <c r="H816" s="67"/>
    </row>
    <row r="817">
      <c r="A817" s="50"/>
      <c r="B817" s="50"/>
      <c r="C817" s="45"/>
      <c r="D817" s="66"/>
      <c r="H817" s="67"/>
    </row>
    <row r="818">
      <c r="A818" s="50"/>
      <c r="B818" s="50"/>
      <c r="C818" s="45"/>
      <c r="D818" s="66"/>
      <c r="H818" s="67"/>
    </row>
    <row r="819">
      <c r="A819" s="50"/>
      <c r="B819" s="50"/>
      <c r="C819" s="45"/>
      <c r="D819" s="66"/>
      <c r="H819" s="67"/>
    </row>
    <row r="820">
      <c r="A820" s="50"/>
      <c r="B820" s="50"/>
      <c r="C820" s="45"/>
      <c r="D820" s="66"/>
      <c r="H820" s="67"/>
    </row>
    <row r="821">
      <c r="A821" s="50"/>
      <c r="B821" s="50"/>
      <c r="C821" s="45"/>
      <c r="D821" s="66"/>
      <c r="H821" s="67"/>
    </row>
    <row r="822">
      <c r="A822" s="50"/>
      <c r="B822" s="50"/>
      <c r="C822" s="45"/>
      <c r="D822" s="66"/>
      <c r="H822" s="67"/>
    </row>
    <row r="823">
      <c r="A823" s="50"/>
      <c r="B823" s="50"/>
      <c r="C823" s="45"/>
      <c r="D823" s="66"/>
      <c r="H823" s="67"/>
    </row>
    <row r="824">
      <c r="A824" s="50"/>
      <c r="B824" s="50"/>
      <c r="C824" s="45"/>
      <c r="D824" s="66"/>
      <c r="H824" s="67"/>
    </row>
    <row r="825">
      <c r="A825" s="50"/>
      <c r="B825" s="50"/>
      <c r="C825" s="45"/>
      <c r="D825" s="66"/>
      <c r="H825" s="67"/>
    </row>
    <row r="826">
      <c r="A826" s="50"/>
      <c r="B826" s="50"/>
      <c r="C826" s="45"/>
      <c r="D826" s="66"/>
      <c r="H826" s="67"/>
    </row>
    <row r="827">
      <c r="A827" s="50"/>
      <c r="B827" s="50"/>
      <c r="C827" s="45"/>
      <c r="D827" s="66"/>
      <c r="H827" s="67"/>
    </row>
    <row r="828">
      <c r="A828" s="50"/>
      <c r="B828" s="50"/>
      <c r="C828" s="45"/>
      <c r="D828" s="66"/>
      <c r="H828" s="67"/>
    </row>
    <row r="829">
      <c r="A829" s="50"/>
      <c r="B829" s="50"/>
      <c r="C829" s="45"/>
      <c r="D829" s="66"/>
      <c r="H829" s="67"/>
    </row>
    <row r="830">
      <c r="A830" s="50"/>
      <c r="B830" s="50"/>
      <c r="C830" s="45"/>
      <c r="D830" s="66"/>
      <c r="H830" s="67"/>
    </row>
    <row r="831">
      <c r="A831" s="50"/>
      <c r="B831" s="50"/>
      <c r="C831" s="45"/>
      <c r="D831" s="66"/>
      <c r="H831" s="67"/>
    </row>
    <row r="832">
      <c r="A832" s="50"/>
      <c r="B832" s="50"/>
      <c r="C832" s="45"/>
      <c r="D832" s="66"/>
      <c r="H832" s="67"/>
    </row>
    <row r="833">
      <c r="A833" s="50"/>
      <c r="B833" s="50"/>
      <c r="C833" s="45"/>
      <c r="D833" s="66"/>
      <c r="H833" s="67"/>
    </row>
    <row r="834">
      <c r="A834" s="50"/>
      <c r="B834" s="50"/>
      <c r="C834" s="45"/>
      <c r="D834" s="66"/>
      <c r="H834" s="67"/>
    </row>
    <row r="835">
      <c r="A835" s="50"/>
      <c r="B835" s="50"/>
      <c r="C835" s="45"/>
      <c r="D835" s="66"/>
      <c r="H835" s="67"/>
    </row>
    <row r="836">
      <c r="A836" s="50"/>
      <c r="B836" s="50"/>
      <c r="C836" s="45"/>
      <c r="D836" s="66"/>
      <c r="H836" s="67"/>
    </row>
    <row r="837">
      <c r="A837" s="50"/>
      <c r="B837" s="50"/>
      <c r="C837" s="45"/>
      <c r="D837" s="66"/>
      <c r="H837" s="67"/>
    </row>
    <row r="838">
      <c r="A838" s="50"/>
      <c r="B838" s="50"/>
      <c r="C838" s="45"/>
      <c r="D838" s="66"/>
      <c r="H838" s="67"/>
    </row>
    <row r="839">
      <c r="A839" s="50"/>
      <c r="B839" s="50"/>
      <c r="C839" s="45"/>
      <c r="D839" s="66"/>
      <c r="H839" s="67"/>
    </row>
    <row r="840">
      <c r="A840" s="50"/>
      <c r="B840" s="50"/>
      <c r="C840" s="45"/>
      <c r="D840" s="66"/>
      <c r="H840" s="67"/>
    </row>
    <row r="841">
      <c r="A841" s="50"/>
      <c r="B841" s="50"/>
      <c r="C841" s="45"/>
      <c r="D841" s="66"/>
      <c r="H841" s="67"/>
    </row>
    <row r="842">
      <c r="A842" s="50"/>
      <c r="B842" s="50"/>
      <c r="C842" s="45"/>
      <c r="D842" s="66"/>
      <c r="H842" s="67"/>
    </row>
    <row r="843">
      <c r="A843" s="50"/>
      <c r="B843" s="50"/>
      <c r="C843" s="45"/>
      <c r="D843" s="66"/>
      <c r="H843" s="67"/>
    </row>
    <row r="844">
      <c r="A844" s="50"/>
      <c r="B844" s="50"/>
      <c r="C844" s="45"/>
      <c r="D844" s="66"/>
      <c r="H844" s="67"/>
    </row>
    <row r="845">
      <c r="A845" s="50"/>
      <c r="B845" s="50"/>
      <c r="C845" s="45"/>
      <c r="D845" s="66"/>
      <c r="H845" s="67"/>
    </row>
    <row r="846">
      <c r="A846" s="50"/>
      <c r="B846" s="50"/>
      <c r="C846" s="45"/>
      <c r="D846" s="66"/>
      <c r="H846" s="67"/>
    </row>
    <row r="847">
      <c r="A847" s="50"/>
      <c r="B847" s="50"/>
      <c r="C847" s="45"/>
      <c r="D847" s="66"/>
      <c r="H847" s="67"/>
    </row>
    <row r="848">
      <c r="A848" s="50"/>
      <c r="B848" s="50"/>
      <c r="C848" s="45"/>
      <c r="D848" s="66"/>
      <c r="H848" s="67"/>
    </row>
    <row r="849">
      <c r="A849" s="50"/>
      <c r="B849" s="50"/>
      <c r="C849" s="45"/>
      <c r="D849" s="66"/>
      <c r="H849" s="67"/>
    </row>
    <row r="850">
      <c r="A850" s="50"/>
      <c r="B850" s="50"/>
      <c r="C850" s="45"/>
      <c r="D850" s="66"/>
      <c r="H850" s="67"/>
    </row>
    <row r="851">
      <c r="A851" s="50"/>
      <c r="B851" s="50"/>
      <c r="C851" s="45"/>
      <c r="D851" s="66"/>
      <c r="H851" s="67"/>
    </row>
    <row r="852">
      <c r="A852" s="50"/>
      <c r="B852" s="50"/>
      <c r="C852" s="45"/>
      <c r="D852" s="66"/>
      <c r="H852" s="67"/>
    </row>
    <row r="853">
      <c r="A853" s="50"/>
      <c r="B853" s="50"/>
      <c r="C853" s="45"/>
      <c r="D853" s="66"/>
      <c r="H853" s="67"/>
    </row>
    <row r="854">
      <c r="A854" s="50"/>
      <c r="B854" s="50"/>
      <c r="C854" s="45"/>
      <c r="D854" s="66"/>
      <c r="H854" s="67"/>
    </row>
    <row r="855">
      <c r="A855" s="50"/>
      <c r="B855" s="50"/>
      <c r="C855" s="45"/>
      <c r="D855" s="66"/>
      <c r="H855" s="67"/>
    </row>
    <row r="856">
      <c r="A856" s="50"/>
      <c r="B856" s="50"/>
      <c r="C856" s="45"/>
      <c r="D856" s="66"/>
      <c r="H856" s="67"/>
    </row>
    <row r="857">
      <c r="A857" s="50"/>
      <c r="B857" s="50"/>
      <c r="C857" s="45"/>
      <c r="D857" s="66"/>
      <c r="H857" s="67"/>
    </row>
    <row r="858">
      <c r="A858" s="50"/>
      <c r="B858" s="50"/>
      <c r="C858" s="45"/>
      <c r="D858" s="66"/>
      <c r="H858" s="67"/>
    </row>
    <row r="859">
      <c r="A859" s="50"/>
      <c r="B859" s="50"/>
      <c r="C859" s="45"/>
      <c r="D859" s="66"/>
      <c r="H859" s="67"/>
    </row>
    <row r="860">
      <c r="A860" s="50"/>
      <c r="B860" s="50"/>
      <c r="C860" s="45"/>
      <c r="D860" s="66"/>
      <c r="H860" s="67"/>
    </row>
    <row r="861">
      <c r="A861" s="50"/>
      <c r="B861" s="50"/>
      <c r="C861" s="45"/>
      <c r="D861" s="66"/>
      <c r="H861" s="67"/>
    </row>
    <row r="862">
      <c r="A862" s="50"/>
      <c r="B862" s="50"/>
      <c r="C862" s="45"/>
      <c r="D862" s="66"/>
      <c r="H862" s="67"/>
    </row>
    <row r="863">
      <c r="A863" s="50"/>
      <c r="B863" s="50"/>
      <c r="C863" s="45"/>
      <c r="D863" s="66"/>
      <c r="H863" s="67"/>
    </row>
    <row r="864">
      <c r="A864" s="50"/>
      <c r="B864" s="50"/>
      <c r="C864" s="45"/>
      <c r="D864" s="66"/>
      <c r="H864" s="67"/>
    </row>
    <row r="865">
      <c r="A865" s="50"/>
      <c r="B865" s="50"/>
      <c r="C865" s="45"/>
      <c r="D865" s="66"/>
      <c r="H865" s="67"/>
    </row>
    <row r="866">
      <c r="A866" s="50"/>
      <c r="B866" s="50"/>
      <c r="C866" s="45"/>
      <c r="D866" s="66"/>
      <c r="H866" s="67"/>
    </row>
    <row r="867">
      <c r="A867" s="50"/>
      <c r="B867" s="50"/>
      <c r="C867" s="45"/>
      <c r="D867" s="66"/>
      <c r="H867" s="67"/>
    </row>
    <row r="868">
      <c r="A868" s="50"/>
      <c r="B868" s="50"/>
      <c r="C868" s="45"/>
      <c r="D868" s="66"/>
      <c r="H868" s="67"/>
    </row>
    <row r="869">
      <c r="A869" s="50"/>
      <c r="B869" s="50"/>
      <c r="C869" s="45"/>
      <c r="D869" s="66"/>
      <c r="H869" s="67"/>
    </row>
    <row r="870">
      <c r="A870" s="50"/>
      <c r="B870" s="50"/>
      <c r="C870" s="45"/>
      <c r="D870" s="66"/>
      <c r="H870" s="67"/>
    </row>
    <row r="871">
      <c r="A871" s="50"/>
      <c r="B871" s="50"/>
      <c r="C871" s="45"/>
      <c r="D871" s="66"/>
      <c r="H871" s="67"/>
    </row>
    <row r="872">
      <c r="A872" s="50"/>
      <c r="B872" s="50"/>
      <c r="C872" s="45"/>
      <c r="D872" s="66"/>
      <c r="H872" s="67"/>
    </row>
    <row r="873">
      <c r="A873" s="50"/>
      <c r="B873" s="50"/>
      <c r="C873" s="45"/>
      <c r="D873" s="66"/>
      <c r="H873" s="67"/>
    </row>
    <row r="874">
      <c r="A874" s="50"/>
      <c r="B874" s="50"/>
      <c r="C874" s="45"/>
      <c r="D874" s="66"/>
      <c r="H874" s="67"/>
    </row>
    <row r="875">
      <c r="A875" s="50"/>
      <c r="B875" s="50"/>
      <c r="C875" s="45"/>
      <c r="D875" s="66"/>
      <c r="H875" s="67"/>
    </row>
    <row r="876">
      <c r="A876" s="50"/>
      <c r="B876" s="50"/>
      <c r="C876" s="45"/>
      <c r="D876" s="66"/>
      <c r="H876" s="67"/>
    </row>
    <row r="877">
      <c r="A877" s="50"/>
      <c r="B877" s="50"/>
      <c r="C877" s="45"/>
      <c r="D877" s="66"/>
      <c r="H877" s="67"/>
    </row>
    <row r="878">
      <c r="A878" s="50"/>
      <c r="B878" s="50"/>
      <c r="C878" s="45"/>
      <c r="D878" s="66"/>
      <c r="H878" s="67"/>
    </row>
    <row r="879">
      <c r="A879" s="50"/>
      <c r="B879" s="50"/>
      <c r="C879" s="45"/>
      <c r="D879" s="66"/>
      <c r="H879" s="67"/>
    </row>
    <row r="880">
      <c r="A880" s="50"/>
      <c r="B880" s="50"/>
      <c r="C880" s="45"/>
      <c r="D880" s="66"/>
      <c r="H880" s="67"/>
    </row>
    <row r="881">
      <c r="A881" s="50"/>
      <c r="B881" s="50"/>
      <c r="C881" s="45"/>
      <c r="D881" s="66"/>
      <c r="H881" s="67"/>
    </row>
    <row r="882">
      <c r="A882" s="50"/>
      <c r="B882" s="50"/>
      <c r="C882" s="45"/>
      <c r="D882" s="66"/>
      <c r="H882" s="67"/>
    </row>
    <row r="883">
      <c r="A883" s="50"/>
      <c r="B883" s="50"/>
      <c r="C883" s="45"/>
      <c r="D883" s="66"/>
      <c r="H883" s="67"/>
    </row>
    <row r="884">
      <c r="A884" s="50"/>
      <c r="B884" s="50"/>
      <c r="C884" s="45"/>
      <c r="D884" s="66"/>
      <c r="H884" s="67"/>
    </row>
    <row r="885">
      <c r="A885" s="50"/>
      <c r="B885" s="50"/>
      <c r="C885" s="45"/>
      <c r="D885" s="66"/>
      <c r="H885" s="67"/>
    </row>
    <row r="886">
      <c r="A886" s="50"/>
      <c r="B886" s="50"/>
      <c r="C886" s="45"/>
      <c r="D886" s="66"/>
      <c r="H886" s="67"/>
    </row>
    <row r="887">
      <c r="A887" s="50"/>
      <c r="B887" s="50"/>
      <c r="C887" s="45"/>
      <c r="D887" s="66"/>
      <c r="H887" s="67"/>
    </row>
    <row r="888">
      <c r="A888" s="50"/>
      <c r="B888" s="50"/>
      <c r="C888" s="45"/>
      <c r="D888" s="66"/>
      <c r="H888" s="67"/>
    </row>
    <row r="889">
      <c r="A889" s="50"/>
      <c r="B889" s="50"/>
      <c r="C889" s="45"/>
      <c r="D889" s="66"/>
      <c r="H889" s="67"/>
    </row>
    <row r="890">
      <c r="A890" s="50"/>
      <c r="B890" s="50"/>
      <c r="C890" s="45"/>
      <c r="D890" s="66"/>
      <c r="H890" s="67"/>
    </row>
    <row r="891">
      <c r="A891" s="50"/>
      <c r="B891" s="50"/>
      <c r="C891" s="45"/>
      <c r="D891" s="66"/>
      <c r="H891" s="67"/>
    </row>
    <row r="892">
      <c r="A892" s="50"/>
      <c r="B892" s="50"/>
      <c r="C892" s="45"/>
      <c r="D892" s="66"/>
      <c r="H892" s="67"/>
    </row>
    <row r="893">
      <c r="A893" s="50"/>
      <c r="B893" s="50"/>
      <c r="C893" s="45"/>
      <c r="D893" s="66"/>
      <c r="H893" s="67"/>
    </row>
    <row r="894">
      <c r="A894" s="50"/>
      <c r="B894" s="50"/>
      <c r="C894" s="45"/>
      <c r="D894" s="66"/>
      <c r="H894" s="67"/>
    </row>
    <row r="895">
      <c r="A895" s="50"/>
      <c r="B895" s="50"/>
      <c r="C895" s="45"/>
      <c r="D895" s="66"/>
      <c r="H895" s="67"/>
    </row>
    <row r="896">
      <c r="A896" s="50"/>
      <c r="B896" s="50"/>
      <c r="C896" s="45"/>
      <c r="D896" s="66"/>
      <c r="H896" s="67"/>
    </row>
    <row r="897">
      <c r="A897" s="50"/>
      <c r="B897" s="50"/>
      <c r="C897" s="45"/>
      <c r="D897" s="66"/>
      <c r="H897" s="67"/>
    </row>
    <row r="898">
      <c r="A898" s="50"/>
      <c r="B898" s="50"/>
      <c r="C898" s="45"/>
      <c r="D898" s="66"/>
      <c r="H898" s="67"/>
    </row>
    <row r="899">
      <c r="A899" s="50"/>
      <c r="B899" s="50"/>
      <c r="C899" s="45"/>
      <c r="D899" s="66"/>
      <c r="H899" s="67"/>
    </row>
    <row r="900">
      <c r="A900" s="50"/>
      <c r="B900" s="50"/>
      <c r="C900" s="45"/>
      <c r="D900" s="66"/>
      <c r="H900" s="67"/>
    </row>
    <row r="901">
      <c r="A901" s="50"/>
      <c r="B901" s="50"/>
      <c r="C901" s="45"/>
      <c r="D901" s="66"/>
      <c r="H901" s="67"/>
    </row>
    <row r="902">
      <c r="A902" s="50"/>
      <c r="B902" s="50"/>
      <c r="C902" s="45"/>
      <c r="D902" s="66"/>
      <c r="H902" s="67"/>
    </row>
    <row r="903">
      <c r="A903" s="50"/>
      <c r="B903" s="50"/>
      <c r="C903" s="45"/>
      <c r="D903" s="66"/>
      <c r="H903" s="67"/>
    </row>
    <row r="904">
      <c r="A904" s="50"/>
      <c r="B904" s="50"/>
      <c r="C904" s="45"/>
      <c r="D904" s="66"/>
      <c r="H904" s="67"/>
    </row>
    <row r="905">
      <c r="A905" s="50"/>
      <c r="B905" s="50"/>
      <c r="C905" s="45"/>
      <c r="D905" s="66"/>
      <c r="H905" s="67"/>
    </row>
    <row r="906">
      <c r="A906" s="50"/>
      <c r="B906" s="50"/>
      <c r="C906" s="45"/>
      <c r="D906" s="66"/>
      <c r="H906" s="67"/>
    </row>
    <row r="907">
      <c r="A907" s="50"/>
      <c r="B907" s="50"/>
      <c r="C907" s="45"/>
      <c r="D907" s="66"/>
      <c r="H907" s="67"/>
    </row>
    <row r="908">
      <c r="A908" s="50"/>
      <c r="B908" s="50"/>
      <c r="C908" s="45"/>
      <c r="D908" s="66"/>
      <c r="H908" s="67"/>
    </row>
    <row r="909">
      <c r="A909" s="50"/>
      <c r="B909" s="50"/>
      <c r="C909" s="45"/>
      <c r="D909" s="66"/>
      <c r="H909" s="67"/>
    </row>
    <row r="910">
      <c r="A910" s="50"/>
      <c r="B910" s="50"/>
      <c r="C910" s="45"/>
      <c r="D910" s="66"/>
      <c r="H910" s="67"/>
    </row>
    <row r="911">
      <c r="A911" s="50"/>
      <c r="B911" s="50"/>
      <c r="C911" s="45"/>
      <c r="D911" s="66"/>
      <c r="H911" s="67"/>
    </row>
    <row r="912">
      <c r="A912" s="50"/>
      <c r="B912" s="50"/>
      <c r="C912" s="45"/>
      <c r="D912" s="66"/>
      <c r="H912" s="67"/>
    </row>
    <row r="913">
      <c r="A913" s="50"/>
      <c r="B913" s="50"/>
      <c r="C913" s="45"/>
      <c r="D913" s="66"/>
      <c r="H913" s="67"/>
    </row>
    <row r="914">
      <c r="A914" s="50"/>
      <c r="B914" s="50"/>
      <c r="C914" s="45"/>
      <c r="D914" s="66"/>
      <c r="H914" s="67"/>
    </row>
    <row r="915">
      <c r="A915" s="50"/>
      <c r="B915" s="50"/>
      <c r="C915" s="45"/>
      <c r="D915" s="66"/>
      <c r="H915" s="67"/>
    </row>
    <row r="916">
      <c r="A916" s="50"/>
      <c r="B916" s="50"/>
      <c r="C916" s="45"/>
      <c r="D916" s="66"/>
      <c r="H916" s="67"/>
    </row>
    <row r="917">
      <c r="A917" s="50"/>
      <c r="B917" s="50"/>
      <c r="C917" s="45"/>
      <c r="D917" s="66"/>
      <c r="H917" s="67"/>
    </row>
    <row r="918">
      <c r="A918" s="50"/>
      <c r="B918" s="50"/>
      <c r="C918" s="45"/>
      <c r="D918" s="66"/>
      <c r="H918" s="67"/>
    </row>
    <row r="919">
      <c r="A919" s="50"/>
      <c r="B919" s="50"/>
      <c r="C919" s="45"/>
      <c r="D919" s="66"/>
      <c r="H919" s="67"/>
    </row>
    <row r="920">
      <c r="A920" s="50"/>
      <c r="B920" s="50"/>
      <c r="C920" s="45"/>
      <c r="D920" s="66"/>
      <c r="H920" s="67"/>
    </row>
    <row r="921">
      <c r="A921" s="50"/>
      <c r="B921" s="50"/>
      <c r="C921" s="45"/>
      <c r="D921" s="66"/>
      <c r="H921" s="67"/>
    </row>
    <row r="922">
      <c r="A922" s="50"/>
      <c r="B922" s="50"/>
      <c r="C922" s="45"/>
      <c r="D922" s="66"/>
      <c r="H922" s="67"/>
    </row>
    <row r="923">
      <c r="A923" s="50"/>
      <c r="B923" s="50"/>
      <c r="C923" s="45"/>
      <c r="D923" s="66"/>
      <c r="H923" s="67"/>
    </row>
    <row r="924">
      <c r="A924" s="50"/>
      <c r="B924" s="50"/>
      <c r="C924" s="45"/>
      <c r="D924" s="66"/>
      <c r="H924" s="67"/>
    </row>
    <row r="925">
      <c r="A925" s="50"/>
      <c r="B925" s="50"/>
      <c r="C925" s="45"/>
      <c r="D925" s="66"/>
      <c r="H925" s="67"/>
    </row>
    <row r="926">
      <c r="A926" s="50"/>
      <c r="B926" s="50"/>
      <c r="C926" s="45"/>
      <c r="D926" s="66"/>
      <c r="H926" s="67"/>
    </row>
    <row r="927">
      <c r="A927" s="50"/>
      <c r="B927" s="50"/>
      <c r="C927" s="45"/>
      <c r="D927" s="66"/>
      <c r="H927" s="67"/>
    </row>
    <row r="928">
      <c r="A928" s="50"/>
      <c r="B928" s="50"/>
      <c r="C928" s="45"/>
      <c r="D928" s="66"/>
      <c r="H928" s="67"/>
    </row>
    <row r="929">
      <c r="A929" s="50"/>
      <c r="B929" s="50"/>
      <c r="C929" s="45"/>
      <c r="D929" s="66"/>
      <c r="H929" s="67"/>
    </row>
    <row r="930">
      <c r="A930" s="50"/>
      <c r="B930" s="50"/>
      <c r="C930" s="45"/>
      <c r="D930" s="66"/>
      <c r="H930" s="67"/>
    </row>
    <row r="931">
      <c r="A931" s="50"/>
      <c r="B931" s="50"/>
      <c r="C931" s="45"/>
      <c r="D931" s="66"/>
      <c r="H931" s="67"/>
    </row>
    <row r="932">
      <c r="A932" s="50"/>
      <c r="B932" s="50"/>
      <c r="C932" s="45"/>
      <c r="D932" s="66"/>
      <c r="H932" s="67"/>
    </row>
    <row r="933">
      <c r="A933" s="50"/>
      <c r="B933" s="50"/>
      <c r="C933" s="45"/>
      <c r="D933" s="66"/>
      <c r="H933" s="67"/>
    </row>
    <row r="934">
      <c r="A934" s="50"/>
      <c r="B934" s="50"/>
      <c r="C934" s="45"/>
      <c r="D934" s="66"/>
      <c r="H934" s="67"/>
    </row>
    <row r="935">
      <c r="A935" s="50"/>
      <c r="B935" s="50"/>
      <c r="C935" s="45"/>
      <c r="D935" s="66"/>
      <c r="H935" s="67"/>
    </row>
    <row r="936">
      <c r="A936" s="50"/>
      <c r="B936" s="50"/>
      <c r="C936" s="45"/>
      <c r="D936" s="66"/>
      <c r="H936" s="67"/>
    </row>
    <row r="937">
      <c r="A937" s="50"/>
      <c r="B937" s="50"/>
      <c r="C937" s="45"/>
      <c r="D937" s="66"/>
      <c r="H937" s="67"/>
    </row>
    <row r="938">
      <c r="A938" s="50"/>
      <c r="B938" s="50"/>
      <c r="C938" s="45"/>
      <c r="D938" s="66"/>
      <c r="H938" s="67"/>
    </row>
    <row r="939">
      <c r="A939" s="50"/>
      <c r="B939" s="50"/>
      <c r="C939" s="45"/>
      <c r="D939" s="66"/>
      <c r="H939" s="67"/>
    </row>
    <row r="940">
      <c r="A940" s="50"/>
      <c r="B940" s="50"/>
      <c r="C940" s="45"/>
      <c r="D940" s="66"/>
      <c r="H940" s="67"/>
    </row>
    <row r="941">
      <c r="A941" s="50"/>
      <c r="B941" s="50"/>
      <c r="C941" s="45"/>
      <c r="D941" s="66"/>
      <c r="H941" s="67"/>
    </row>
    <row r="942">
      <c r="A942" s="50"/>
      <c r="B942" s="50"/>
      <c r="C942" s="45"/>
      <c r="D942" s="66"/>
      <c r="H942" s="67"/>
    </row>
    <row r="943">
      <c r="A943" s="50"/>
      <c r="B943" s="50"/>
      <c r="C943" s="45"/>
      <c r="D943" s="66"/>
      <c r="H943" s="67"/>
    </row>
    <row r="944">
      <c r="A944" s="50"/>
      <c r="B944" s="50"/>
      <c r="C944" s="45"/>
      <c r="D944" s="66"/>
      <c r="H944" s="67"/>
    </row>
    <row r="945">
      <c r="A945" s="50"/>
      <c r="B945" s="50"/>
      <c r="C945" s="45"/>
      <c r="D945" s="66"/>
      <c r="H945" s="67"/>
    </row>
    <row r="946">
      <c r="A946" s="50"/>
      <c r="B946" s="50"/>
      <c r="C946" s="45"/>
      <c r="D946" s="66"/>
      <c r="H946" s="67"/>
    </row>
    <row r="947">
      <c r="A947" s="50"/>
      <c r="B947" s="50"/>
      <c r="C947" s="45"/>
      <c r="D947" s="66"/>
      <c r="H947" s="67"/>
    </row>
    <row r="948">
      <c r="A948" s="50"/>
      <c r="B948" s="50"/>
      <c r="C948" s="45"/>
      <c r="D948" s="66"/>
      <c r="H948" s="67"/>
    </row>
    <row r="949">
      <c r="A949" s="50"/>
      <c r="B949" s="50"/>
      <c r="C949" s="45"/>
      <c r="D949" s="66"/>
      <c r="H949" s="67"/>
    </row>
    <row r="950">
      <c r="A950" s="50"/>
      <c r="B950" s="50"/>
      <c r="C950" s="45"/>
      <c r="D950" s="66"/>
      <c r="H950" s="67"/>
    </row>
    <row r="951">
      <c r="A951" s="50"/>
      <c r="B951" s="50"/>
      <c r="C951" s="45"/>
      <c r="D951" s="66"/>
      <c r="H951" s="67"/>
    </row>
    <row r="952">
      <c r="A952" s="50"/>
      <c r="B952" s="50"/>
      <c r="C952" s="45"/>
      <c r="D952" s="66"/>
      <c r="H952" s="67"/>
    </row>
    <row r="953">
      <c r="A953" s="50"/>
      <c r="B953" s="50"/>
      <c r="C953" s="45"/>
      <c r="D953" s="66"/>
      <c r="H953" s="67"/>
    </row>
    <row r="954">
      <c r="A954" s="50"/>
      <c r="B954" s="50"/>
      <c r="C954" s="45"/>
      <c r="D954" s="66"/>
      <c r="H954" s="67"/>
    </row>
    <row r="955">
      <c r="A955" s="50"/>
      <c r="B955" s="50"/>
      <c r="C955" s="45"/>
      <c r="D955" s="66"/>
      <c r="H955" s="67"/>
    </row>
    <row r="956">
      <c r="A956" s="50"/>
      <c r="B956" s="50"/>
      <c r="C956" s="45"/>
      <c r="D956" s="66"/>
      <c r="H956" s="67"/>
    </row>
    <row r="957">
      <c r="A957" s="50"/>
      <c r="B957" s="50"/>
      <c r="C957" s="45"/>
      <c r="D957" s="66"/>
      <c r="H957" s="67"/>
    </row>
    <row r="958">
      <c r="A958" s="50"/>
      <c r="B958" s="50"/>
      <c r="C958" s="45"/>
      <c r="D958" s="66"/>
      <c r="H958" s="67"/>
    </row>
    <row r="959">
      <c r="A959" s="50"/>
      <c r="B959" s="50"/>
      <c r="C959" s="45"/>
      <c r="D959" s="66"/>
      <c r="H959" s="67"/>
    </row>
    <row r="960">
      <c r="A960" s="50"/>
      <c r="B960" s="50"/>
      <c r="C960" s="45"/>
      <c r="D960" s="66"/>
      <c r="H960" s="67"/>
    </row>
    <row r="961">
      <c r="A961" s="50"/>
      <c r="B961" s="50"/>
      <c r="C961" s="45"/>
      <c r="D961" s="66"/>
      <c r="H961" s="67"/>
    </row>
    <row r="962">
      <c r="A962" s="50"/>
      <c r="B962" s="50"/>
      <c r="C962" s="45"/>
      <c r="D962" s="66"/>
      <c r="H962" s="67"/>
    </row>
    <row r="963">
      <c r="A963" s="50"/>
      <c r="B963" s="50"/>
      <c r="C963" s="45"/>
      <c r="D963" s="66"/>
      <c r="H963" s="67"/>
    </row>
    <row r="964">
      <c r="A964" s="50"/>
      <c r="B964" s="50"/>
      <c r="C964" s="45"/>
      <c r="D964" s="66"/>
      <c r="H964" s="67"/>
    </row>
    <row r="965">
      <c r="A965" s="50"/>
      <c r="B965" s="50"/>
      <c r="C965" s="45"/>
      <c r="D965" s="66"/>
      <c r="H965" s="67"/>
    </row>
    <row r="966">
      <c r="A966" s="50"/>
      <c r="B966" s="50"/>
      <c r="C966" s="45"/>
      <c r="D966" s="66"/>
      <c r="H966" s="67"/>
    </row>
    <row r="967">
      <c r="A967" s="50"/>
      <c r="B967" s="50"/>
      <c r="C967" s="45"/>
      <c r="D967" s="66"/>
      <c r="H967" s="67"/>
    </row>
    <row r="968">
      <c r="A968" s="50"/>
      <c r="B968" s="50"/>
      <c r="C968" s="45"/>
      <c r="D968" s="66"/>
      <c r="H968" s="67"/>
    </row>
    <row r="969">
      <c r="A969" s="50"/>
      <c r="B969" s="50"/>
      <c r="C969" s="45"/>
      <c r="D969" s="66"/>
      <c r="H969" s="67"/>
    </row>
    <row r="970">
      <c r="A970" s="50"/>
      <c r="B970" s="50"/>
      <c r="C970" s="45"/>
      <c r="D970" s="66"/>
      <c r="H970" s="67"/>
    </row>
    <row r="971">
      <c r="A971" s="50"/>
      <c r="B971" s="50"/>
      <c r="C971" s="45"/>
      <c r="D971" s="66"/>
      <c r="H971" s="67"/>
    </row>
    <row r="972">
      <c r="A972" s="50"/>
      <c r="B972" s="50"/>
      <c r="C972" s="45"/>
      <c r="D972" s="66"/>
      <c r="H972" s="67"/>
    </row>
    <row r="973">
      <c r="A973" s="50"/>
      <c r="B973" s="50"/>
      <c r="C973" s="45"/>
      <c r="D973" s="66"/>
      <c r="H973" s="67"/>
    </row>
    <row r="974">
      <c r="A974" s="50"/>
      <c r="B974" s="50"/>
      <c r="C974" s="45"/>
      <c r="D974" s="66"/>
      <c r="H974" s="67"/>
    </row>
    <row r="975">
      <c r="A975" s="50"/>
      <c r="B975" s="50"/>
      <c r="C975" s="45"/>
      <c r="D975" s="66"/>
      <c r="H975" s="67"/>
    </row>
    <row r="976">
      <c r="A976" s="50"/>
      <c r="B976" s="50"/>
      <c r="C976" s="45"/>
      <c r="D976" s="66"/>
      <c r="H976" s="67"/>
    </row>
    <row r="977">
      <c r="A977" s="50"/>
      <c r="B977" s="50"/>
      <c r="C977" s="45"/>
      <c r="D977" s="66"/>
      <c r="H977" s="67"/>
    </row>
    <row r="978">
      <c r="A978" s="50"/>
      <c r="B978" s="50"/>
      <c r="C978" s="45"/>
      <c r="D978" s="66"/>
      <c r="H978" s="67"/>
    </row>
    <row r="979">
      <c r="A979" s="50"/>
      <c r="B979" s="50"/>
      <c r="C979" s="45"/>
      <c r="D979" s="66"/>
      <c r="H979" s="67"/>
    </row>
    <row r="980">
      <c r="A980" s="50"/>
      <c r="B980" s="50"/>
      <c r="C980" s="45"/>
      <c r="D980" s="66"/>
      <c r="H980" s="67"/>
    </row>
    <row r="981">
      <c r="A981" s="50"/>
      <c r="B981" s="50"/>
      <c r="C981" s="45"/>
      <c r="D981" s="66"/>
      <c r="H981" s="67"/>
    </row>
    <row r="982">
      <c r="A982" s="50"/>
      <c r="B982" s="50"/>
      <c r="C982" s="45"/>
      <c r="D982" s="66"/>
      <c r="H982" s="67"/>
    </row>
    <row r="983">
      <c r="A983" s="50"/>
      <c r="B983" s="50"/>
      <c r="C983" s="45"/>
      <c r="D983" s="66"/>
      <c r="H983" s="67"/>
    </row>
    <row r="984">
      <c r="A984" s="50"/>
      <c r="B984" s="50"/>
      <c r="C984" s="45"/>
      <c r="D984" s="66"/>
      <c r="H984" s="67"/>
    </row>
    <row r="985">
      <c r="A985" s="50"/>
      <c r="B985" s="50"/>
      <c r="C985" s="45"/>
      <c r="D985" s="66"/>
      <c r="H985" s="67"/>
    </row>
    <row r="986">
      <c r="A986" s="50"/>
      <c r="B986" s="50"/>
      <c r="C986" s="45"/>
      <c r="D986" s="66"/>
      <c r="H986" s="67"/>
    </row>
    <row r="987">
      <c r="A987" s="50"/>
      <c r="B987" s="50"/>
      <c r="C987" s="45"/>
      <c r="D987" s="66"/>
      <c r="H987" s="67"/>
    </row>
    <row r="988">
      <c r="A988" s="50"/>
      <c r="B988" s="50"/>
      <c r="C988" s="45"/>
      <c r="D988" s="66"/>
      <c r="H988" s="67"/>
    </row>
    <row r="989">
      <c r="A989" s="50"/>
      <c r="B989" s="50"/>
      <c r="C989" s="45"/>
      <c r="D989" s="66"/>
      <c r="H989" s="67"/>
    </row>
    <row r="990">
      <c r="A990" s="50"/>
      <c r="B990" s="50"/>
      <c r="C990" s="45"/>
      <c r="D990" s="66"/>
      <c r="H990" s="67"/>
    </row>
    <row r="991">
      <c r="A991" s="50"/>
      <c r="B991" s="50"/>
      <c r="C991" s="45"/>
      <c r="D991" s="66"/>
      <c r="H991" s="67"/>
    </row>
    <row r="992">
      <c r="A992" s="50"/>
      <c r="B992" s="50"/>
      <c r="C992" s="45"/>
      <c r="D992" s="66"/>
      <c r="H992" s="67"/>
    </row>
    <row r="993">
      <c r="A993" s="50"/>
      <c r="B993" s="50"/>
      <c r="C993" s="45"/>
      <c r="D993" s="66"/>
      <c r="H993" s="67"/>
    </row>
    <row r="994">
      <c r="A994" s="50"/>
      <c r="B994" s="50"/>
      <c r="C994" s="45"/>
      <c r="D994" s="66"/>
      <c r="H994" s="67"/>
    </row>
    <row r="995">
      <c r="A995" s="50"/>
      <c r="B995" s="50"/>
      <c r="C995" s="45"/>
      <c r="D995" s="66"/>
      <c r="H995" s="67"/>
    </row>
    <row r="996">
      <c r="A996" s="50"/>
      <c r="B996" s="50"/>
      <c r="C996" s="45"/>
      <c r="D996" s="66"/>
      <c r="H996" s="67"/>
    </row>
    <row r="997">
      <c r="A997" s="50"/>
      <c r="B997" s="50"/>
      <c r="C997" s="45"/>
      <c r="D997" s="66"/>
      <c r="H997" s="67"/>
    </row>
    <row r="998">
      <c r="A998" s="50"/>
      <c r="B998" s="50"/>
      <c r="C998" s="45"/>
      <c r="D998" s="66"/>
      <c r="H998" s="67"/>
    </row>
    <row r="999">
      <c r="A999" s="50"/>
      <c r="B999" s="50"/>
      <c r="C999" s="45"/>
      <c r="D999" s="66"/>
      <c r="H999" s="67"/>
    </row>
    <row r="1000">
      <c r="A1000" s="50"/>
      <c r="B1000" s="50"/>
      <c r="C1000" s="45"/>
      <c r="D1000" s="66"/>
      <c r="H1000" s="67"/>
    </row>
    <row r="1001">
      <c r="A1001" s="50"/>
      <c r="B1001" s="50"/>
      <c r="C1001" s="45"/>
      <c r="D1001" s="66"/>
      <c r="H1001" s="67"/>
    </row>
    <row r="1002">
      <c r="A1002" s="50"/>
      <c r="B1002" s="50"/>
      <c r="C1002" s="45"/>
      <c r="D1002" s="66"/>
      <c r="H1002" s="67"/>
    </row>
    <row r="1003">
      <c r="A1003" s="50"/>
      <c r="B1003" s="50"/>
      <c r="C1003" s="45"/>
      <c r="D1003" s="66"/>
      <c r="H1003" s="67"/>
    </row>
    <row r="1004">
      <c r="A1004" s="50"/>
      <c r="B1004" s="50"/>
      <c r="C1004" s="45"/>
      <c r="D1004" s="66"/>
      <c r="H1004" s="67"/>
    </row>
    <row r="1005">
      <c r="A1005" s="50"/>
      <c r="B1005" s="50"/>
      <c r="C1005" s="45"/>
      <c r="D1005" s="66"/>
      <c r="H1005" s="67"/>
    </row>
    <row r="1006">
      <c r="A1006" s="50"/>
      <c r="B1006" s="50"/>
      <c r="C1006" s="45"/>
      <c r="D1006" s="66"/>
      <c r="H1006" s="67"/>
    </row>
    <row r="1007">
      <c r="A1007" s="50"/>
      <c r="B1007" s="50"/>
      <c r="C1007" s="45"/>
      <c r="D1007" s="66"/>
      <c r="H1007" s="67"/>
    </row>
    <row r="1008">
      <c r="A1008" s="50"/>
      <c r="B1008" s="50"/>
      <c r="C1008" s="45"/>
      <c r="D1008" s="66"/>
      <c r="H1008" s="67"/>
    </row>
    <row r="1009">
      <c r="A1009" s="50"/>
      <c r="B1009" s="50"/>
      <c r="C1009" s="50"/>
      <c r="D1009" s="66"/>
      <c r="H1009" s="67"/>
    </row>
  </sheetData>
  <mergeCells count="2">
    <mergeCell ref="B2:D2"/>
    <mergeCell ref="B4:D5"/>
  </mergeCells>
  <hyperlinks>
    <hyperlink r:id="rId1" ref="B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0.43"/>
    <col customWidth="1" min="4" max="4" width="38.57"/>
    <col customWidth="1" min="5" max="5" width="31.0"/>
  </cols>
  <sheetData>
    <row r="1">
      <c r="A1" s="42"/>
      <c r="B1" s="42"/>
      <c r="C1" s="42"/>
      <c r="D1" s="42"/>
      <c r="E1" s="42"/>
      <c r="F1" s="42"/>
    </row>
    <row r="2">
      <c r="A2" s="42"/>
      <c r="B2" s="47" t="s">
        <v>184</v>
      </c>
      <c r="E2" s="42"/>
      <c r="F2" s="42"/>
    </row>
    <row r="3">
      <c r="A3" s="42"/>
      <c r="B3" s="42"/>
      <c r="C3" s="42"/>
      <c r="D3" s="42"/>
      <c r="E3" s="42"/>
      <c r="F3" s="42"/>
    </row>
    <row r="4">
      <c r="A4" s="42"/>
      <c r="B4" s="68" t="s">
        <v>185</v>
      </c>
      <c r="E4" s="42"/>
      <c r="F4" s="42"/>
    </row>
    <row r="5">
      <c r="A5" s="42"/>
      <c r="E5" s="65"/>
      <c r="F5" s="42"/>
    </row>
    <row r="6">
      <c r="A6" s="42"/>
      <c r="E6" s="65"/>
      <c r="F6" s="42"/>
    </row>
    <row r="7">
      <c r="A7" s="42"/>
      <c r="E7" s="65"/>
      <c r="F7" s="42"/>
    </row>
    <row r="8">
      <c r="A8" s="42"/>
      <c r="B8" s="42"/>
      <c r="C8" s="42"/>
      <c r="D8" s="42"/>
      <c r="E8" s="42"/>
      <c r="F8" s="42"/>
    </row>
    <row r="9">
      <c r="A9" s="42"/>
      <c r="B9" s="42"/>
      <c r="C9" s="42"/>
      <c r="D9" s="42"/>
      <c r="E9" s="42"/>
      <c r="F9" s="42"/>
    </row>
    <row r="10">
      <c r="A10" s="42"/>
      <c r="B10" s="9" t="s">
        <v>0</v>
      </c>
      <c r="C10" s="9" t="s">
        <v>28</v>
      </c>
      <c r="D10" s="9" t="s">
        <v>186</v>
      </c>
      <c r="E10" s="69"/>
      <c r="F10" s="42"/>
    </row>
    <row r="11">
      <c r="A11" s="42"/>
      <c r="B11" s="53">
        <v>31412.0</v>
      </c>
      <c r="C11" s="54">
        <v>4.8</v>
      </c>
      <c r="D11" s="54">
        <f t="shared" ref="D11:D165" si="1">ROUND((1+C11/100)^4 -1, 3)</f>
        <v>0.206</v>
      </c>
      <c r="E11" s="42"/>
      <c r="F11" s="42"/>
    </row>
    <row r="12">
      <c r="A12" s="42"/>
      <c r="B12" s="55">
        <v>31502.0</v>
      </c>
      <c r="C12" s="54">
        <v>3.9</v>
      </c>
      <c r="D12" s="54">
        <f t="shared" si="1"/>
        <v>0.165</v>
      </c>
      <c r="E12" s="42"/>
      <c r="F12" s="42"/>
    </row>
    <row r="13">
      <c r="A13" s="42"/>
      <c r="B13" s="55">
        <v>31593.0</v>
      </c>
      <c r="C13" s="54">
        <v>1.5</v>
      </c>
      <c r="D13" s="54">
        <f t="shared" si="1"/>
        <v>0.061</v>
      </c>
      <c r="E13" s="42"/>
      <c r="F13" s="42"/>
    </row>
    <row r="14">
      <c r="A14" s="42"/>
      <c r="B14" s="55">
        <v>31685.0</v>
      </c>
      <c r="C14" s="54">
        <v>0.5</v>
      </c>
      <c r="D14" s="54">
        <f t="shared" si="1"/>
        <v>0.02</v>
      </c>
      <c r="E14" s="42"/>
      <c r="F14" s="42"/>
    </row>
    <row r="15">
      <c r="A15" s="42"/>
      <c r="B15" s="53">
        <v>31777.0</v>
      </c>
      <c r="C15" s="54">
        <v>2.4</v>
      </c>
      <c r="D15" s="54">
        <f t="shared" si="1"/>
        <v>0.1</v>
      </c>
      <c r="E15" s="42"/>
      <c r="F15" s="42"/>
    </row>
    <row r="16">
      <c r="A16" s="42"/>
      <c r="B16" s="55">
        <v>31867.0</v>
      </c>
      <c r="C16" s="54">
        <v>2.8</v>
      </c>
      <c r="D16" s="54">
        <f t="shared" si="1"/>
        <v>0.117</v>
      </c>
      <c r="E16" s="42"/>
      <c r="F16" s="42"/>
    </row>
    <row r="17">
      <c r="A17" s="42"/>
      <c r="B17" s="55">
        <v>31958.0</v>
      </c>
      <c r="C17" s="54">
        <v>4.6</v>
      </c>
      <c r="D17" s="54">
        <f t="shared" si="1"/>
        <v>0.197</v>
      </c>
      <c r="E17" s="42"/>
      <c r="F17" s="42"/>
    </row>
    <row r="18">
      <c r="A18" s="42"/>
      <c r="B18" s="55">
        <v>32050.0</v>
      </c>
      <c r="C18" s="54">
        <v>6.2</v>
      </c>
      <c r="D18" s="54">
        <f t="shared" si="1"/>
        <v>0.272</v>
      </c>
      <c r="E18" s="42"/>
      <c r="F18" s="42"/>
    </row>
    <row r="19">
      <c r="A19" s="42"/>
      <c r="B19" s="53">
        <v>32142.0</v>
      </c>
      <c r="C19" s="54">
        <v>6.5</v>
      </c>
      <c r="D19" s="54">
        <f t="shared" si="1"/>
        <v>0.286</v>
      </c>
      <c r="E19" s="42"/>
      <c r="F19" s="42"/>
    </row>
    <row r="20">
      <c r="A20" s="42"/>
      <c r="B20" s="55">
        <v>32233.0</v>
      </c>
      <c r="C20" s="54">
        <v>6.0</v>
      </c>
      <c r="D20" s="54">
        <f t="shared" si="1"/>
        <v>0.262</v>
      </c>
      <c r="E20" s="42"/>
      <c r="F20" s="42"/>
    </row>
    <row r="21">
      <c r="A21" s="42"/>
      <c r="B21" s="55">
        <v>32324.0</v>
      </c>
      <c r="C21" s="54">
        <v>4.4</v>
      </c>
      <c r="D21" s="54">
        <f t="shared" si="1"/>
        <v>0.188</v>
      </c>
      <c r="E21" s="42"/>
      <c r="F21" s="42"/>
    </row>
    <row r="22">
      <c r="A22" s="42"/>
      <c r="B22" s="55">
        <v>32416.0</v>
      </c>
      <c r="C22" s="54">
        <v>3.4</v>
      </c>
      <c r="D22" s="54">
        <f t="shared" si="1"/>
        <v>0.143</v>
      </c>
      <c r="E22" s="42"/>
      <c r="F22" s="42"/>
    </row>
    <row r="23">
      <c r="A23" s="42"/>
      <c r="B23" s="53">
        <v>32508.0</v>
      </c>
      <c r="C23" s="54">
        <v>2.9</v>
      </c>
      <c r="D23" s="54">
        <f t="shared" si="1"/>
        <v>0.121</v>
      </c>
      <c r="E23" s="42"/>
      <c r="F23" s="42"/>
    </row>
    <row r="24">
      <c r="A24" s="42"/>
      <c r="B24" s="55">
        <v>32598.0</v>
      </c>
      <c r="C24" s="54">
        <v>3.5</v>
      </c>
      <c r="D24" s="54">
        <f t="shared" si="1"/>
        <v>0.148</v>
      </c>
      <c r="E24" s="42"/>
      <c r="F24" s="42"/>
    </row>
    <row r="25">
      <c r="A25" s="42"/>
      <c r="B25" s="55">
        <v>32689.0</v>
      </c>
      <c r="C25" s="54">
        <v>5.7</v>
      </c>
      <c r="D25" s="54">
        <f t="shared" si="1"/>
        <v>0.248</v>
      </c>
      <c r="E25" s="42"/>
      <c r="F25" s="42"/>
    </row>
    <row r="26">
      <c r="A26" s="42"/>
      <c r="B26" s="55">
        <v>32781.0</v>
      </c>
      <c r="C26" s="54">
        <v>5.6</v>
      </c>
      <c r="D26" s="54">
        <f t="shared" si="1"/>
        <v>0.244</v>
      </c>
      <c r="E26" s="42"/>
      <c r="F26" s="42"/>
    </row>
    <row r="27">
      <c r="A27" s="42"/>
      <c r="B27" s="53">
        <v>32873.0</v>
      </c>
      <c r="C27" s="54">
        <v>3.7</v>
      </c>
      <c r="D27" s="54">
        <f t="shared" si="1"/>
        <v>0.156</v>
      </c>
      <c r="E27" s="42"/>
      <c r="F27" s="42"/>
    </row>
    <row r="28">
      <c r="A28" s="42"/>
      <c r="B28" s="55">
        <v>32963.0</v>
      </c>
      <c r="C28" s="54">
        <v>3.5</v>
      </c>
      <c r="D28" s="54">
        <f t="shared" si="1"/>
        <v>0.148</v>
      </c>
      <c r="E28" s="42"/>
      <c r="F28" s="42"/>
    </row>
    <row r="29">
      <c r="A29" s="42"/>
      <c r="B29" s="55">
        <v>33054.0</v>
      </c>
      <c r="C29" s="54">
        <v>1.5</v>
      </c>
      <c r="D29" s="54">
        <f t="shared" si="1"/>
        <v>0.061</v>
      </c>
      <c r="E29" s="42"/>
      <c r="F29" s="42"/>
    </row>
    <row r="30">
      <c r="A30" s="42"/>
      <c r="B30" s="55">
        <v>33146.0</v>
      </c>
      <c r="C30" s="54">
        <v>0.1</v>
      </c>
      <c r="D30" s="54">
        <f t="shared" si="1"/>
        <v>0.004</v>
      </c>
      <c r="E30" s="42"/>
      <c r="F30" s="42"/>
    </row>
    <row r="31">
      <c r="A31" s="42"/>
      <c r="B31" s="53">
        <v>33238.0</v>
      </c>
      <c r="C31" s="54">
        <v>1.0</v>
      </c>
      <c r="D31" s="54">
        <f t="shared" si="1"/>
        <v>0.041</v>
      </c>
      <c r="E31" s="42"/>
      <c r="F31" s="42"/>
    </row>
    <row r="32">
      <c r="A32" s="42"/>
      <c r="B32" s="55">
        <v>33328.0</v>
      </c>
      <c r="C32" s="54">
        <v>-1.2</v>
      </c>
      <c r="D32" s="54">
        <f t="shared" si="1"/>
        <v>-0.047</v>
      </c>
      <c r="E32" s="42"/>
      <c r="F32" s="42"/>
    </row>
    <row r="33">
      <c r="A33" s="42"/>
      <c r="B33" s="55">
        <v>33419.0</v>
      </c>
      <c r="C33" s="54">
        <v>-1.4</v>
      </c>
      <c r="D33" s="54">
        <f t="shared" si="1"/>
        <v>-0.055</v>
      </c>
      <c r="E33" s="42"/>
      <c r="F33" s="42"/>
    </row>
    <row r="34">
      <c r="A34" s="42"/>
      <c r="B34" s="55">
        <v>33511.0</v>
      </c>
      <c r="C34" s="54">
        <v>-0.4</v>
      </c>
      <c r="D34" s="54">
        <f t="shared" si="1"/>
        <v>-0.016</v>
      </c>
      <c r="E34" s="42"/>
      <c r="F34" s="42"/>
    </row>
    <row r="35">
      <c r="A35" s="42"/>
      <c r="B35" s="53">
        <v>33603.0</v>
      </c>
      <c r="C35" s="54">
        <v>-1.0</v>
      </c>
      <c r="D35" s="54">
        <f t="shared" si="1"/>
        <v>-0.039</v>
      </c>
      <c r="E35" s="42"/>
      <c r="F35" s="42"/>
    </row>
    <row r="36">
      <c r="A36" s="42"/>
      <c r="B36" s="55">
        <v>33694.0</v>
      </c>
      <c r="C36" s="54">
        <v>1.1</v>
      </c>
      <c r="D36" s="54">
        <f t="shared" si="1"/>
        <v>0.045</v>
      </c>
      <c r="E36" s="42"/>
      <c r="F36" s="42"/>
    </row>
    <row r="37">
      <c r="A37" s="42"/>
      <c r="B37" s="55">
        <v>33785.0</v>
      </c>
      <c r="C37" s="54">
        <v>2.0</v>
      </c>
      <c r="D37" s="54">
        <f t="shared" si="1"/>
        <v>0.082</v>
      </c>
      <c r="E37" s="42"/>
      <c r="F37" s="42"/>
    </row>
    <row r="38">
      <c r="A38" s="42"/>
      <c r="B38" s="55">
        <v>33877.0</v>
      </c>
      <c r="C38" s="54">
        <v>2.6</v>
      </c>
      <c r="D38" s="54">
        <f t="shared" si="1"/>
        <v>0.108</v>
      </c>
      <c r="E38" s="42"/>
      <c r="F38" s="42"/>
    </row>
    <row r="39">
      <c r="A39" s="42"/>
      <c r="B39" s="53">
        <v>33969.0</v>
      </c>
      <c r="C39" s="54">
        <v>4.6</v>
      </c>
      <c r="D39" s="54">
        <f t="shared" si="1"/>
        <v>0.197</v>
      </c>
      <c r="E39" s="42"/>
      <c r="F39" s="42"/>
    </row>
    <row r="40">
      <c r="A40" s="42"/>
      <c r="B40" s="55">
        <v>34059.0</v>
      </c>
      <c r="C40" s="54">
        <v>4.5</v>
      </c>
      <c r="D40" s="54">
        <f t="shared" si="1"/>
        <v>0.193</v>
      </c>
      <c r="E40" s="42"/>
      <c r="F40" s="42"/>
    </row>
    <row r="41">
      <c r="A41" s="42"/>
      <c r="B41" s="55">
        <v>34150.0</v>
      </c>
      <c r="C41" s="54">
        <v>4.4</v>
      </c>
      <c r="D41" s="54">
        <f t="shared" si="1"/>
        <v>0.188</v>
      </c>
      <c r="E41" s="42"/>
      <c r="F41" s="42"/>
    </row>
    <row r="42">
      <c r="A42" s="42"/>
      <c r="B42" s="55">
        <v>34242.0</v>
      </c>
      <c r="C42" s="54">
        <v>3.5</v>
      </c>
      <c r="D42" s="54">
        <f t="shared" si="1"/>
        <v>0.148</v>
      </c>
      <c r="E42" s="42"/>
      <c r="F42" s="42"/>
    </row>
    <row r="43">
      <c r="A43" s="42"/>
      <c r="B43" s="53">
        <v>34334.0</v>
      </c>
      <c r="C43" s="54">
        <v>3.3</v>
      </c>
      <c r="D43" s="54">
        <f t="shared" si="1"/>
        <v>0.139</v>
      </c>
      <c r="E43" s="42"/>
      <c r="F43" s="42"/>
    </row>
    <row r="44">
      <c r="A44" s="42"/>
      <c r="B44" s="55">
        <v>34424.0</v>
      </c>
      <c r="C44" s="54">
        <v>4.2</v>
      </c>
      <c r="D44" s="54">
        <f t="shared" si="1"/>
        <v>0.179</v>
      </c>
      <c r="E44" s="42"/>
      <c r="F44" s="42"/>
    </row>
    <row r="45">
      <c r="A45" s="42"/>
      <c r="B45" s="55">
        <v>34515.0</v>
      </c>
      <c r="C45" s="54">
        <v>4.9</v>
      </c>
      <c r="D45" s="54">
        <f t="shared" si="1"/>
        <v>0.211</v>
      </c>
      <c r="E45" s="42"/>
      <c r="F45" s="42"/>
    </row>
    <row r="46">
      <c r="A46" s="42"/>
      <c r="B46" s="55">
        <v>34607.0</v>
      </c>
      <c r="C46" s="54">
        <v>5.5</v>
      </c>
      <c r="D46" s="54">
        <f t="shared" si="1"/>
        <v>0.239</v>
      </c>
      <c r="E46" s="42"/>
      <c r="F46" s="42"/>
    </row>
    <row r="47">
      <c r="A47" s="42"/>
      <c r="B47" s="53">
        <v>34699.0</v>
      </c>
      <c r="C47" s="54">
        <v>4.7</v>
      </c>
      <c r="D47" s="54">
        <f t="shared" si="1"/>
        <v>0.202</v>
      </c>
      <c r="E47" s="42"/>
      <c r="F47" s="42"/>
    </row>
    <row r="48">
      <c r="A48" s="42"/>
      <c r="B48" s="55">
        <v>34789.0</v>
      </c>
      <c r="C48" s="54">
        <v>3.1</v>
      </c>
      <c r="D48" s="54">
        <f t="shared" si="1"/>
        <v>0.13</v>
      </c>
      <c r="E48" s="42"/>
      <c r="F48" s="42"/>
    </row>
    <row r="49">
      <c r="A49" s="42"/>
      <c r="B49" s="55">
        <v>34880.0</v>
      </c>
      <c r="C49" s="54">
        <v>2.3</v>
      </c>
      <c r="D49" s="54">
        <f t="shared" si="1"/>
        <v>0.095</v>
      </c>
      <c r="E49" s="42"/>
      <c r="F49" s="42"/>
    </row>
    <row r="50">
      <c r="A50" s="42"/>
      <c r="B50" s="55">
        <v>34972.0</v>
      </c>
      <c r="C50" s="54">
        <v>3.8</v>
      </c>
      <c r="D50" s="54">
        <f t="shared" si="1"/>
        <v>0.161</v>
      </c>
      <c r="E50" s="42"/>
      <c r="F50" s="42"/>
    </row>
    <row r="51">
      <c r="A51" s="42"/>
      <c r="B51" s="53">
        <v>35064.0</v>
      </c>
      <c r="C51" s="54">
        <v>2.7</v>
      </c>
      <c r="D51" s="54">
        <f t="shared" si="1"/>
        <v>0.112</v>
      </c>
      <c r="E51" s="42"/>
      <c r="F51" s="42"/>
    </row>
    <row r="52">
      <c r="A52" s="42"/>
      <c r="B52" s="55">
        <v>35155.0</v>
      </c>
      <c r="C52" s="54">
        <v>4.4</v>
      </c>
      <c r="D52" s="54">
        <f t="shared" si="1"/>
        <v>0.188</v>
      </c>
      <c r="E52" s="42"/>
      <c r="F52" s="42"/>
    </row>
    <row r="53">
      <c r="A53" s="42"/>
      <c r="B53" s="55">
        <v>35246.0</v>
      </c>
      <c r="C53" s="54">
        <v>4.6</v>
      </c>
      <c r="D53" s="54">
        <f t="shared" si="1"/>
        <v>0.197</v>
      </c>
      <c r="E53" s="42"/>
      <c r="F53" s="42"/>
    </row>
    <row r="54">
      <c r="A54" s="42"/>
      <c r="B54" s="55">
        <v>35338.0</v>
      </c>
      <c r="C54" s="54">
        <v>3.1</v>
      </c>
      <c r="D54" s="54">
        <f t="shared" si="1"/>
        <v>0.13</v>
      </c>
      <c r="E54" s="42"/>
      <c r="F54" s="42"/>
    </row>
    <row r="55">
      <c r="A55" s="42"/>
      <c r="B55" s="53">
        <v>35430.0</v>
      </c>
      <c r="C55" s="54">
        <v>4.0</v>
      </c>
      <c r="D55" s="54">
        <f t="shared" si="1"/>
        <v>0.17</v>
      </c>
      <c r="E55" s="42"/>
      <c r="F55" s="42"/>
    </row>
    <row r="56">
      <c r="A56" s="42"/>
      <c r="B56" s="55">
        <v>35520.0</v>
      </c>
      <c r="C56" s="54">
        <v>3.0</v>
      </c>
      <c r="D56" s="54">
        <f t="shared" si="1"/>
        <v>0.126</v>
      </c>
      <c r="E56" s="42"/>
      <c r="F56" s="42"/>
    </row>
    <row r="57">
      <c r="A57" s="42"/>
      <c r="B57" s="55">
        <v>35611.0</v>
      </c>
      <c r="C57" s="54">
        <v>5.5</v>
      </c>
      <c r="D57" s="54">
        <f t="shared" si="1"/>
        <v>0.239</v>
      </c>
      <c r="E57" s="42"/>
      <c r="F57" s="42"/>
    </row>
    <row r="58">
      <c r="A58" s="42"/>
      <c r="B58" s="55">
        <v>35703.0</v>
      </c>
      <c r="C58" s="54">
        <v>4.8</v>
      </c>
      <c r="D58" s="54">
        <f t="shared" si="1"/>
        <v>0.206</v>
      </c>
      <c r="E58" s="42"/>
      <c r="F58" s="42"/>
    </row>
    <row r="59">
      <c r="A59" s="42"/>
      <c r="B59" s="53">
        <v>35795.0</v>
      </c>
      <c r="C59" s="54">
        <v>5.3</v>
      </c>
      <c r="D59" s="54">
        <f t="shared" si="1"/>
        <v>0.229</v>
      </c>
      <c r="E59" s="42"/>
      <c r="F59" s="42"/>
    </row>
    <row r="60">
      <c r="A60" s="42"/>
      <c r="B60" s="55">
        <v>35885.0</v>
      </c>
      <c r="C60" s="54">
        <v>5.3</v>
      </c>
      <c r="D60" s="54">
        <f t="shared" si="1"/>
        <v>0.229</v>
      </c>
      <c r="E60" s="42"/>
      <c r="F60" s="42"/>
    </row>
    <row r="61">
      <c r="A61" s="42"/>
      <c r="B61" s="55">
        <v>35976.0</v>
      </c>
      <c r="C61" s="54">
        <v>3.3</v>
      </c>
      <c r="D61" s="54">
        <f t="shared" si="1"/>
        <v>0.139</v>
      </c>
      <c r="E61" s="42"/>
      <c r="F61" s="42"/>
    </row>
    <row r="62">
      <c r="A62" s="42"/>
      <c r="B62" s="55">
        <v>36068.0</v>
      </c>
      <c r="C62" s="54">
        <v>5.1</v>
      </c>
      <c r="D62" s="54">
        <f t="shared" si="1"/>
        <v>0.22</v>
      </c>
      <c r="E62" s="42"/>
      <c r="F62" s="42"/>
    </row>
    <row r="63">
      <c r="A63" s="42"/>
      <c r="B63" s="53">
        <v>36160.0</v>
      </c>
      <c r="C63" s="54">
        <v>5.2</v>
      </c>
      <c r="D63" s="54">
        <f t="shared" si="1"/>
        <v>0.225</v>
      </c>
      <c r="E63" s="42"/>
      <c r="F63" s="42"/>
    </row>
    <row r="64">
      <c r="A64" s="42"/>
      <c r="B64" s="55">
        <v>36250.0</v>
      </c>
      <c r="C64" s="54">
        <v>5.3</v>
      </c>
      <c r="D64" s="54">
        <f t="shared" si="1"/>
        <v>0.229</v>
      </c>
      <c r="E64" s="42"/>
      <c r="F64" s="42"/>
    </row>
    <row r="65">
      <c r="A65" s="42"/>
      <c r="B65" s="55">
        <v>36341.0</v>
      </c>
      <c r="C65" s="54">
        <v>4.6</v>
      </c>
      <c r="D65" s="54">
        <f t="shared" si="1"/>
        <v>0.197</v>
      </c>
      <c r="E65" s="42"/>
      <c r="F65" s="42"/>
    </row>
    <row r="66">
      <c r="A66" s="42"/>
      <c r="B66" s="55">
        <v>36433.0</v>
      </c>
      <c r="C66" s="54">
        <v>3.8</v>
      </c>
      <c r="D66" s="54">
        <f t="shared" si="1"/>
        <v>0.161</v>
      </c>
      <c r="E66" s="42"/>
      <c r="F66" s="42"/>
    </row>
    <row r="67">
      <c r="A67" s="42"/>
      <c r="B67" s="53">
        <v>36525.0</v>
      </c>
      <c r="C67" s="54">
        <v>4.0</v>
      </c>
      <c r="D67" s="54">
        <f t="shared" si="1"/>
        <v>0.17</v>
      </c>
      <c r="E67" s="42"/>
      <c r="F67" s="42"/>
    </row>
    <row r="68">
      <c r="A68" s="42"/>
      <c r="B68" s="55">
        <v>36616.0</v>
      </c>
      <c r="C68" s="54">
        <v>3.6</v>
      </c>
      <c r="D68" s="54">
        <f t="shared" si="1"/>
        <v>0.152</v>
      </c>
      <c r="E68" s="42"/>
      <c r="F68" s="42"/>
    </row>
    <row r="69">
      <c r="A69" s="42"/>
      <c r="B69" s="55">
        <v>36707.0</v>
      </c>
      <c r="C69" s="54">
        <v>4.2</v>
      </c>
      <c r="D69" s="54">
        <f t="shared" si="1"/>
        <v>0.179</v>
      </c>
      <c r="E69" s="42"/>
      <c r="F69" s="42"/>
    </row>
    <row r="70">
      <c r="A70" s="42"/>
      <c r="B70" s="55">
        <v>36799.0</v>
      </c>
      <c r="C70" s="54">
        <v>3.3</v>
      </c>
      <c r="D70" s="54">
        <f t="shared" si="1"/>
        <v>0.139</v>
      </c>
      <c r="E70" s="42"/>
      <c r="F70" s="42"/>
    </row>
    <row r="71">
      <c r="A71" s="42"/>
      <c r="B71" s="53">
        <v>36891.0</v>
      </c>
      <c r="C71" s="54">
        <v>1.2</v>
      </c>
      <c r="D71" s="54">
        <f t="shared" si="1"/>
        <v>0.049</v>
      </c>
      <c r="E71" s="42"/>
      <c r="F71" s="42"/>
    </row>
    <row r="72">
      <c r="A72" s="42"/>
      <c r="B72" s="55">
        <v>36981.0</v>
      </c>
      <c r="C72" s="54">
        <v>1.8</v>
      </c>
      <c r="D72" s="54">
        <f t="shared" si="1"/>
        <v>0.074</v>
      </c>
      <c r="E72" s="42"/>
      <c r="F72" s="42"/>
    </row>
    <row r="73">
      <c r="A73" s="42"/>
      <c r="B73" s="55">
        <v>37072.0</v>
      </c>
      <c r="C73" s="54">
        <v>1.8</v>
      </c>
      <c r="D73" s="54">
        <f t="shared" si="1"/>
        <v>0.074</v>
      </c>
      <c r="E73" s="42"/>
      <c r="F73" s="42"/>
    </row>
    <row r="74">
      <c r="A74" s="42"/>
      <c r="B74" s="55">
        <v>37164.0</v>
      </c>
      <c r="C74" s="54">
        <v>2.6</v>
      </c>
      <c r="D74" s="54">
        <f t="shared" si="1"/>
        <v>0.108</v>
      </c>
      <c r="E74" s="42"/>
      <c r="F74" s="42"/>
    </row>
    <row r="75">
      <c r="A75" s="42"/>
      <c r="B75" s="53">
        <v>37256.0</v>
      </c>
      <c r="C75" s="54">
        <v>4.3</v>
      </c>
      <c r="D75" s="54">
        <f t="shared" si="1"/>
        <v>0.183</v>
      </c>
      <c r="E75" s="42"/>
      <c r="F75" s="42"/>
    </row>
    <row r="76">
      <c r="A76" s="42"/>
      <c r="B76" s="55">
        <v>37346.0</v>
      </c>
      <c r="C76" s="54">
        <v>4.0</v>
      </c>
      <c r="D76" s="54">
        <f t="shared" si="1"/>
        <v>0.17</v>
      </c>
      <c r="E76" s="42"/>
      <c r="F76" s="42"/>
    </row>
    <row r="77">
      <c r="A77" s="42"/>
      <c r="B77" s="55">
        <v>37437.0</v>
      </c>
      <c r="C77" s="54">
        <v>4.9</v>
      </c>
      <c r="D77" s="54">
        <f t="shared" si="1"/>
        <v>0.211</v>
      </c>
      <c r="E77" s="42"/>
      <c r="F77" s="42"/>
    </row>
    <row r="78">
      <c r="A78" s="42"/>
      <c r="B78" s="55">
        <v>37529.0</v>
      </c>
      <c r="C78" s="54">
        <v>4.0</v>
      </c>
      <c r="D78" s="54">
        <f t="shared" si="1"/>
        <v>0.17</v>
      </c>
      <c r="E78" s="42"/>
      <c r="F78" s="42"/>
    </row>
    <row r="79">
      <c r="A79" s="42"/>
      <c r="B79" s="53">
        <v>37621.0</v>
      </c>
      <c r="C79" s="54">
        <v>3.6</v>
      </c>
      <c r="D79" s="54">
        <f t="shared" si="1"/>
        <v>0.152</v>
      </c>
      <c r="E79" s="42"/>
      <c r="F79" s="42"/>
    </row>
    <row r="80">
      <c r="A80" s="42"/>
      <c r="B80" s="55">
        <v>37711.0</v>
      </c>
      <c r="C80" s="54">
        <v>3.0</v>
      </c>
      <c r="D80" s="54">
        <f t="shared" si="1"/>
        <v>0.126</v>
      </c>
      <c r="E80" s="42"/>
      <c r="F80" s="42"/>
    </row>
    <row r="81">
      <c r="A81" s="42"/>
      <c r="B81" s="55">
        <v>37802.0</v>
      </c>
      <c r="C81" s="54">
        <v>1.7</v>
      </c>
      <c r="D81" s="54">
        <f t="shared" si="1"/>
        <v>0.07</v>
      </c>
      <c r="E81" s="42"/>
      <c r="F81" s="42"/>
    </row>
    <row r="82">
      <c r="A82" s="42"/>
      <c r="B82" s="55">
        <v>37894.0</v>
      </c>
      <c r="C82" s="54">
        <v>3.2</v>
      </c>
      <c r="D82" s="54">
        <f t="shared" si="1"/>
        <v>0.134</v>
      </c>
      <c r="E82" s="42"/>
      <c r="F82" s="42"/>
    </row>
    <row r="83">
      <c r="A83" s="42"/>
      <c r="B83" s="53">
        <v>37986.0</v>
      </c>
      <c r="C83" s="54">
        <v>4.1</v>
      </c>
      <c r="D83" s="54">
        <f t="shared" si="1"/>
        <v>0.174</v>
      </c>
      <c r="E83" s="42"/>
      <c r="F83" s="42"/>
    </row>
    <row r="84">
      <c r="A84" s="42"/>
      <c r="B84" s="55">
        <v>38077.0</v>
      </c>
      <c r="C84" s="54">
        <v>4.7</v>
      </c>
      <c r="D84" s="54">
        <f t="shared" si="1"/>
        <v>0.202</v>
      </c>
      <c r="E84" s="42"/>
      <c r="F84" s="42"/>
    </row>
    <row r="85">
      <c r="A85" s="42"/>
      <c r="B85" s="55">
        <v>38168.0</v>
      </c>
      <c r="C85" s="54">
        <v>4.9</v>
      </c>
      <c r="D85" s="54">
        <f t="shared" si="1"/>
        <v>0.211</v>
      </c>
      <c r="E85" s="42"/>
      <c r="F85" s="42"/>
    </row>
    <row r="86">
      <c r="A86" s="42"/>
      <c r="B86" s="55">
        <v>38260.0</v>
      </c>
      <c r="C86" s="54">
        <v>3.9</v>
      </c>
      <c r="D86" s="54">
        <f t="shared" si="1"/>
        <v>0.165</v>
      </c>
      <c r="E86" s="42"/>
      <c r="F86" s="42"/>
    </row>
    <row r="87">
      <c r="A87" s="42"/>
      <c r="B87" s="53">
        <v>38352.0</v>
      </c>
      <c r="C87" s="54">
        <v>3.0</v>
      </c>
      <c r="D87" s="54">
        <f t="shared" si="1"/>
        <v>0.126</v>
      </c>
      <c r="E87" s="42"/>
      <c r="F87" s="42"/>
    </row>
    <row r="88">
      <c r="A88" s="42"/>
      <c r="B88" s="55">
        <v>38442.0</v>
      </c>
      <c r="C88" s="54">
        <v>3.0</v>
      </c>
      <c r="D88" s="54">
        <f t="shared" si="1"/>
        <v>0.126</v>
      </c>
      <c r="E88" s="42"/>
      <c r="F88" s="42"/>
    </row>
    <row r="89">
      <c r="A89" s="42"/>
      <c r="B89" s="55">
        <v>38533.0</v>
      </c>
      <c r="C89" s="54">
        <v>2.8</v>
      </c>
      <c r="D89" s="54">
        <f t="shared" si="1"/>
        <v>0.117</v>
      </c>
      <c r="E89" s="42"/>
      <c r="F89" s="42"/>
    </row>
    <row r="90">
      <c r="A90" s="42"/>
      <c r="B90" s="55">
        <v>38625.0</v>
      </c>
      <c r="C90" s="54">
        <v>3.1</v>
      </c>
      <c r="D90" s="54">
        <f t="shared" si="1"/>
        <v>0.13</v>
      </c>
      <c r="E90" s="42"/>
      <c r="F90" s="42"/>
    </row>
    <row r="91">
      <c r="A91" s="42"/>
      <c r="B91" s="53">
        <v>38717.0</v>
      </c>
      <c r="C91" s="54">
        <v>3.2</v>
      </c>
      <c r="D91" s="54">
        <f t="shared" si="1"/>
        <v>0.134</v>
      </c>
      <c r="E91" s="42"/>
      <c r="F91" s="42"/>
    </row>
    <row r="92">
      <c r="A92" s="42"/>
      <c r="B92" s="55">
        <v>38807.0</v>
      </c>
      <c r="C92" s="54">
        <v>2.5</v>
      </c>
      <c r="D92" s="54">
        <f t="shared" si="1"/>
        <v>0.104</v>
      </c>
      <c r="E92" s="42"/>
      <c r="F92" s="42"/>
    </row>
    <row r="93">
      <c r="A93" s="42"/>
      <c r="B93" s="55">
        <v>38898.0</v>
      </c>
      <c r="C93" s="54">
        <v>2.2</v>
      </c>
      <c r="D93" s="54">
        <f t="shared" si="1"/>
        <v>0.091</v>
      </c>
      <c r="E93" s="42"/>
      <c r="F93" s="42"/>
    </row>
    <row r="94">
      <c r="A94" s="42"/>
      <c r="B94" s="55">
        <v>38990.0</v>
      </c>
      <c r="C94" s="54">
        <v>2.7</v>
      </c>
      <c r="D94" s="54">
        <f t="shared" si="1"/>
        <v>0.112</v>
      </c>
      <c r="E94" s="42"/>
      <c r="F94" s="42"/>
    </row>
    <row r="95">
      <c r="A95" s="42"/>
      <c r="B95" s="53">
        <v>39082.0</v>
      </c>
      <c r="C95" s="54">
        <v>3.1</v>
      </c>
      <c r="D95" s="54">
        <f t="shared" si="1"/>
        <v>0.13</v>
      </c>
      <c r="E95" s="42"/>
      <c r="F95" s="42"/>
    </row>
    <row r="96">
      <c r="A96" s="42"/>
      <c r="B96" s="55">
        <v>39172.0</v>
      </c>
      <c r="C96" s="54">
        <v>4.4</v>
      </c>
      <c r="D96" s="54">
        <f t="shared" si="1"/>
        <v>0.188</v>
      </c>
      <c r="E96" s="42"/>
      <c r="F96" s="42"/>
    </row>
    <row r="97">
      <c r="A97" s="42"/>
      <c r="B97" s="55">
        <v>39263.0</v>
      </c>
      <c r="C97" s="54">
        <v>4.9</v>
      </c>
      <c r="D97" s="54">
        <f t="shared" si="1"/>
        <v>0.211</v>
      </c>
      <c r="E97" s="42"/>
      <c r="F97" s="42"/>
    </row>
    <row r="98">
      <c r="A98" s="42"/>
      <c r="B98" s="55">
        <v>39355.0</v>
      </c>
      <c r="C98" s="54">
        <v>4.5</v>
      </c>
      <c r="D98" s="54">
        <f t="shared" si="1"/>
        <v>0.193</v>
      </c>
      <c r="E98" s="42"/>
      <c r="F98" s="42"/>
    </row>
    <row r="99">
      <c r="A99" s="42"/>
      <c r="B99" s="53">
        <v>39447.0</v>
      </c>
      <c r="C99" s="54">
        <v>3.7</v>
      </c>
      <c r="D99" s="54">
        <f t="shared" si="1"/>
        <v>0.156</v>
      </c>
      <c r="E99" s="42"/>
      <c r="F99" s="42"/>
    </row>
    <row r="100">
      <c r="A100" s="42"/>
      <c r="B100" s="55">
        <v>39538.0</v>
      </c>
      <c r="C100" s="54">
        <v>3.3</v>
      </c>
      <c r="D100" s="54">
        <f t="shared" si="1"/>
        <v>0.139</v>
      </c>
      <c r="E100" s="42"/>
      <c r="F100" s="42"/>
    </row>
    <row r="101">
      <c r="A101" s="42"/>
      <c r="B101" s="55">
        <v>39629.0</v>
      </c>
      <c r="C101" s="54">
        <v>2.9</v>
      </c>
      <c r="D101" s="54">
        <f t="shared" si="1"/>
        <v>0.121</v>
      </c>
      <c r="E101" s="42"/>
      <c r="F101" s="42"/>
    </row>
    <row r="102">
      <c r="A102" s="42"/>
      <c r="B102" s="55">
        <v>39721.0</v>
      </c>
      <c r="C102" s="54">
        <v>2.5</v>
      </c>
      <c r="D102" s="54">
        <f t="shared" si="1"/>
        <v>0.104</v>
      </c>
      <c r="E102" s="42"/>
      <c r="F102" s="42"/>
    </row>
    <row r="103">
      <c r="A103" s="42"/>
      <c r="B103" s="53">
        <v>39813.0</v>
      </c>
      <c r="C103" s="54">
        <v>1.6</v>
      </c>
      <c r="D103" s="54">
        <f t="shared" si="1"/>
        <v>0.066</v>
      </c>
      <c r="E103" s="42"/>
      <c r="F103" s="42"/>
    </row>
    <row r="104">
      <c r="A104" s="42"/>
      <c r="B104" s="55">
        <v>39903.0</v>
      </c>
      <c r="C104" s="54">
        <v>1.6</v>
      </c>
      <c r="D104" s="54">
        <f t="shared" si="1"/>
        <v>0.066</v>
      </c>
      <c r="E104" s="42"/>
      <c r="F104" s="42"/>
    </row>
    <row r="105">
      <c r="A105" s="42"/>
      <c r="B105" s="55">
        <v>39994.0</v>
      </c>
      <c r="C105" s="54">
        <v>1.9</v>
      </c>
      <c r="D105" s="54">
        <f t="shared" si="1"/>
        <v>0.078</v>
      </c>
      <c r="E105" s="42"/>
      <c r="F105" s="42"/>
    </row>
    <row r="106">
      <c r="A106" s="42"/>
      <c r="B106" s="55">
        <v>40086.0</v>
      </c>
      <c r="C106" s="54">
        <v>1.6</v>
      </c>
      <c r="D106" s="54">
        <f t="shared" si="1"/>
        <v>0.066</v>
      </c>
      <c r="E106" s="42"/>
      <c r="F106" s="42"/>
    </row>
    <row r="107">
      <c r="A107" s="42"/>
      <c r="B107" s="53">
        <v>40178.0</v>
      </c>
      <c r="C107" s="54">
        <v>2.8</v>
      </c>
      <c r="D107" s="54">
        <f t="shared" si="1"/>
        <v>0.117</v>
      </c>
      <c r="E107" s="42"/>
      <c r="F107" s="42"/>
    </row>
    <row r="108">
      <c r="A108" s="42"/>
      <c r="B108" s="55">
        <v>40268.0</v>
      </c>
      <c r="C108" s="54">
        <v>2.3</v>
      </c>
      <c r="D108" s="54">
        <f t="shared" si="1"/>
        <v>0.095</v>
      </c>
      <c r="E108" s="42"/>
      <c r="F108" s="42"/>
    </row>
    <row r="109">
      <c r="A109" s="42"/>
      <c r="B109" s="55">
        <v>40359.0</v>
      </c>
      <c r="C109" s="54">
        <v>2.2</v>
      </c>
      <c r="D109" s="54">
        <f t="shared" si="1"/>
        <v>0.091</v>
      </c>
      <c r="E109" s="42"/>
      <c r="F109" s="42"/>
    </row>
    <row r="110">
      <c r="A110" s="42"/>
      <c r="B110" s="55">
        <v>40451.0</v>
      </c>
      <c r="C110" s="54">
        <v>2.6</v>
      </c>
      <c r="D110" s="54">
        <f t="shared" si="1"/>
        <v>0.108</v>
      </c>
      <c r="E110" s="42"/>
      <c r="F110" s="42"/>
    </row>
    <row r="111">
      <c r="A111" s="42"/>
      <c r="B111" s="53">
        <v>40543.0</v>
      </c>
      <c r="C111" s="54">
        <v>2.6</v>
      </c>
      <c r="D111" s="54">
        <f t="shared" si="1"/>
        <v>0.108</v>
      </c>
      <c r="E111" s="42"/>
      <c r="F111" s="42"/>
    </row>
    <row r="112">
      <c r="A112" s="42"/>
      <c r="B112" s="55">
        <v>40633.0</v>
      </c>
      <c r="C112" s="54">
        <v>1.9</v>
      </c>
      <c r="D112" s="54">
        <f t="shared" si="1"/>
        <v>0.078</v>
      </c>
      <c r="E112" s="42"/>
      <c r="F112" s="42"/>
    </row>
    <row r="113">
      <c r="A113" s="42"/>
      <c r="B113" s="55">
        <v>40724.0</v>
      </c>
      <c r="C113" s="54">
        <v>2.5</v>
      </c>
      <c r="D113" s="54">
        <f t="shared" si="1"/>
        <v>0.104</v>
      </c>
      <c r="E113" s="42"/>
      <c r="F113" s="42"/>
    </row>
    <row r="114">
      <c r="A114" s="42"/>
      <c r="B114" s="55">
        <v>40816.0</v>
      </c>
      <c r="C114" s="54">
        <v>3.2</v>
      </c>
      <c r="D114" s="54">
        <f t="shared" si="1"/>
        <v>0.134</v>
      </c>
      <c r="E114" s="42"/>
      <c r="F114" s="42"/>
    </row>
    <row r="115">
      <c r="A115" s="42"/>
      <c r="B115" s="53">
        <v>40908.0</v>
      </c>
      <c r="C115" s="54">
        <v>3.4</v>
      </c>
      <c r="D115" s="54">
        <f t="shared" si="1"/>
        <v>0.143</v>
      </c>
      <c r="E115" s="42"/>
      <c r="F115" s="42"/>
    </row>
    <row r="116">
      <c r="A116" s="42"/>
      <c r="B116" s="55">
        <v>40999.0</v>
      </c>
      <c r="C116" s="54">
        <v>4.8</v>
      </c>
      <c r="D116" s="54">
        <f t="shared" si="1"/>
        <v>0.206</v>
      </c>
      <c r="E116" s="42"/>
      <c r="F116" s="42"/>
    </row>
    <row r="117">
      <c r="A117" s="42"/>
      <c r="B117" s="55">
        <v>41090.0</v>
      </c>
      <c r="C117" s="54">
        <v>4.2</v>
      </c>
      <c r="D117" s="54">
        <f t="shared" si="1"/>
        <v>0.179</v>
      </c>
      <c r="E117" s="42"/>
      <c r="F117" s="42"/>
    </row>
    <row r="118">
      <c r="A118" s="42"/>
      <c r="B118" s="55">
        <v>41182.0</v>
      </c>
      <c r="C118" s="54">
        <v>3.4</v>
      </c>
      <c r="D118" s="54">
        <f t="shared" si="1"/>
        <v>0.143</v>
      </c>
      <c r="E118" s="42"/>
      <c r="F118" s="42"/>
    </row>
    <row r="119">
      <c r="A119" s="42"/>
      <c r="B119" s="53">
        <v>41274.0</v>
      </c>
      <c r="C119" s="54">
        <v>2.8</v>
      </c>
      <c r="D119" s="54">
        <f t="shared" si="1"/>
        <v>0.117</v>
      </c>
      <c r="E119" s="42"/>
      <c r="F119" s="42"/>
    </row>
    <row r="120">
      <c r="A120" s="42"/>
      <c r="B120" s="55">
        <v>41364.0</v>
      </c>
      <c r="C120" s="54">
        <v>2.3</v>
      </c>
      <c r="D120" s="54">
        <f t="shared" si="1"/>
        <v>0.095</v>
      </c>
      <c r="E120" s="42"/>
      <c r="F120" s="42"/>
    </row>
    <row r="121">
      <c r="A121" s="42"/>
      <c r="B121" s="55">
        <v>41455.0</v>
      </c>
      <c r="C121" s="54">
        <v>2.0</v>
      </c>
      <c r="D121" s="54">
        <f t="shared" si="1"/>
        <v>0.082</v>
      </c>
      <c r="E121" s="42"/>
      <c r="F121" s="42"/>
    </row>
    <row r="122">
      <c r="A122" s="42"/>
      <c r="B122" s="55">
        <v>41547.0</v>
      </c>
      <c r="C122" s="54">
        <v>2.2</v>
      </c>
      <c r="D122" s="54">
        <f t="shared" si="1"/>
        <v>0.091</v>
      </c>
      <c r="E122" s="42"/>
      <c r="F122" s="42"/>
    </row>
    <row r="123">
      <c r="A123" s="42"/>
      <c r="B123" s="53">
        <v>41639.0</v>
      </c>
      <c r="C123" s="54">
        <v>2.5</v>
      </c>
      <c r="D123" s="54">
        <f t="shared" si="1"/>
        <v>0.104</v>
      </c>
      <c r="E123" s="42"/>
      <c r="F123" s="42"/>
    </row>
    <row r="124">
      <c r="A124" s="42"/>
      <c r="B124" s="55">
        <v>41729.0</v>
      </c>
      <c r="C124" s="54">
        <v>2.8</v>
      </c>
      <c r="D124" s="54">
        <f t="shared" si="1"/>
        <v>0.117</v>
      </c>
      <c r="E124" s="42"/>
      <c r="F124" s="42"/>
    </row>
    <row r="125">
      <c r="A125" s="42"/>
      <c r="B125" s="55">
        <v>41820.0</v>
      </c>
      <c r="C125" s="54">
        <v>2.9</v>
      </c>
      <c r="D125" s="54">
        <f t="shared" si="1"/>
        <v>0.121</v>
      </c>
      <c r="E125" s="42"/>
      <c r="F125" s="42"/>
    </row>
    <row r="126">
      <c r="A126" s="42"/>
      <c r="B126" s="55">
        <v>41912.0</v>
      </c>
      <c r="C126" s="54">
        <v>2.5</v>
      </c>
      <c r="D126" s="54">
        <f t="shared" si="1"/>
        <v>0.104</v>
      </c>
      <c r="E126" s="42"/>
      <c r="F126" s="42"/>
    </row>
    <row r="127">
      <c r="A127" s="42"/>
      <c r="B127" s="53">
        <v>42004.0</v>
      </c>
      <c r="C127" s="54">
        <v>2.1</v>
      </c>
      <c r="D127" s="54">
        <f t="shared" si="1"/>
        <v>0.087</v>
      </c>
      <c r="E127" s="42"/>
      <c r="F127" s="42"/>
    </row>
    <row r="128">
      <c r="A128" s="42"/>
      <c r="B128" s="55">
        <v>42094.0</v>
      </c>
      <c r="C128" s="54">
        <v>2.3</v>
      </c>
      <c r="D128" s="54">
        <f t="shared" si="1"/>
        <v>0.095</v>
      </c>
      <c r="E128" s="42"/>
      <c r="F128" s="42"/>
    </row>
    <row r="129">
      <c r="A129" s="42"/>
      <c r="B129" s="55">
        <v>42185.0</v>
      </c>
      <c r="C129" s="54">
        <v>1.9</v>
      </c>
      <c r="D129" s="54">
        <f t="shared" si="1"/>
        <v>0.078</v>
      </c>
      <c r="E129" s="42"/>
      <c r="F129" s="42"/>
    </row>
    <row r="130">
      <c r="A130" s="42"/>
      <c r="B130" s="55">
        <v>42277.0</v>
      </c>
      <c r="C130" s="54">
        <v>2.5</v>
      </c>
      <c r="D130" s="54">
        <f t="shared" si="1"/>
        <v>0.104</v>
      </c>
      <c r="E130" s="42"/>
      <c r="F130" s="42"/>
    </row>
    <row r="131">
      <c r="A131" s="42"/>
      <c r="B131" s="53">
        <v>42369.0</v>
      </c>
      <c r="C131" s="54">
        <v>2.7</v>
      </c>
      <c r="D131" s="54">
        <f t="shared" si="1"/>
        <v>0.112</v>
      </c>
      <c r="E131" s="42"/>
      <c r="F131" s="42"/>
    </row>
    <row r="132">
      <c r="A132" s="42"/>
      <c r="B132" s="55">
        <v>42460.0</v>
      </c>
      <c r="C132" s="54">
        <v>2.7</v>
      </c>
      <c r="D132" s="54">
        <f t="shared" si="1"/>
        <v>0.112</v>
      </c>
      <c r="E132" s="42"/>
      <c r="F132" s="42"/>
    </row>
    <row r="133">
      <c r="A133" s="42"/>
      <c r="B133" s="55">
        <v>42551.0</v>
      </c>
      <c r="C133" s="54">
        <v>3.2</v>
      </c>
      <c r="D133" s="54">
        <f t="shared" si="1"/>
        <v>0.134</v>
      </c>
      <c r="E133" s="42"/>
      <c r="F133" s="42"/>
    </row>
    <row r="134">
      <c r="A134" s="42"/>
      <c r="B134" s="55">
        <v>42643.0</v>
      </c>
      <c r="C134" s="54">
        <v>2.2</v>
      </c>
      <c r="D134" s="54">
        <f t="shared" si="1"/>
        <v>0.091</v>
      </c>
      <c r="E134" s="42"/>
      <c r="F134" s="42"/>
    </row>
    <row r="135">
      <c r="A135" s="42"/>
      <c r="B135" s="53">
        <v>42735.0</v>
      </c>
      <c r="C135" s="54">
        <v>2.7</v>
      </c>
      <c r="D135" s="54">
        <f t="shared" si="1"/>
        <v>0.112</v>
      </c>
      <c r="E135" s="42"/>
      <c r="F135" s="42"/>
    </row>
    <row r="136">
      <c r="A136" s="42"/>
      <c r="B136" s="55">
        <v>42825.0</v>
      </c>
      <c r="C136" s="54">
        <v>2.2</v>
      </c>
      <c r="D136" s="54">
        <f t="shared" si="1"/>
        <v>0.091</v>
      </c>
      <c r="E136" s="42"/>
      <c r="F136" s="42"/>
    </row>
    <row r="137">
      <c r="A137" s="42"/>
      <c r="B137" s="55">
        <v>42916.0</v>
      </c>
      <c r="C137" s="54">
        <v>2.1</v>
      </c>
      <c r="D137" s="54">
        <f t="shared" si="1"/>
        <v>0.087</v>
      </c>
      <c r="E137" s="42"/>
      <c r="F137" s="42"/>
    </row>
    <row r="138">
      <c r="A138" s="42"/>
      <c r="B138" s="55">
        <v>43008.0</v>
      </c>
      <c r="C138" s="54">
        <v>3.0</v>
      </c>
      <c r="D138" s="54">
        <f t="shared" si="1"/>
        <v>0.126</v>
      </c>
      <c r="E138" s="42"/>
      <c r="F138" s="42"/>
    </row>
    <row r="139">
      <c r="A139" s="42"/>
      <c r="B139" s="53">
        <v>43100.0</v>
      </c>
      <c r="C139" s="54">
        <v>2.4</v>
      </c>
      <c r="D139" s="54">
        <f t="shared" si="1"/>
        <v>0.1</v>
      </c>
      <c r="E139" s="42"/>
      <c r="F139" s="42"/>
    </row>
    <row r="140">
      <c r="A140" s="42"/>
      <c r="B140" s="55">
        <v>43190.0</v>
      </c>
      <c r="C140" s="54">
        <v>3.1</v>
      </c>
      <c r="D140" s="54">
        <f t="shared" si="1"/>
        <v>0.13</v>
      </c>
      <c r="E140" s="42"/>
      <c r="F140" s="42"/>
    </row>
    <row r="141">
      <c r="A141" s="42"/>
      <c r="B141" s="55">
        <v>43281.0</v>
      </c>
      <c r="C141" s="54">
        <v>3.2</v>
      </c>
      <c r="D141" s="54">
        <f t="shared" si="1"/>
        <v>0.134</v>
      </c>
      <c r="E141" s="42"/>
      <c r="F141" s="42"/>
    </row>
    <row r="142">
      <c r="A142" s="42"/>
      <c r="B142" s="55">
        <v>43373.0</v>
      </c>
      <c r="C142" s="54">
        <v>2.7</v>
      </c>
      <c r="D142" s="54">
        <f t="shared" si="1"/>
        <v>0.112</v>
      </c>
      <c r="E142" s="42"/>
      <c r="F142" s="42"/>
    </row>
    <row r="143">
      <c r="A143" s="42"/>
      <c r="B143" s="53">
        <v>43465.0</v>
      </c>
      <c r="C143" s="54">
        <v>2.5</v>
      </c>
      <c r="D143" s="54">
        <f t="shared" si="1"/>
        <v>0.104</v>
      </c>
      <c r="E143" s="42"/>
      <c r="F143" s="42"/>
    </row>
    <row r="144">
      <c r="A144" s="42"/>
      <c r="B144" s="55">
        <v>43555.0</v>
      </c>
      <c r="C144" s="54">
        <v>2.0</v>
      </c>
      <c r="D144" s="54">
        <f t="shared" si="1"/>
        <v>0.082</v>
      </c>
      <c r="E144" s="42"/>
      <c r="F144" s="42"/>
    </row>
    <row r="145">
      <c r="A145" s="42"/>
      <c r="B145" s="55">
        <v>43646.0</v>
      </c>
      <c r="C145" s="54">
        <v>1.6</v>
      </c>
      <c r="D145" s="54">
        <f t="shared" si="1"/>
        <v>0.066</v>
      </c>
      <c r="E145" s="42"/>
      <c r="F145" s="42"/>
    </row>
    <row r="146">
      <c r="A146" s="42"/>
      <c r="B146" s="55">
        <v>43738.0</v>
      </c>
      <c r="C146" s="54">
        <v>1.7</v>
      </c>
      <c r="D146" s="54">
        <f t="shared" si="1"/>
        <v>0.07</v>
      </c>
      <c r="E146" s="42"/>
      <c r="F146" s="42"/>
    </row>
    <row r="147">
      <c r="A147" s="42"/>
      <c r="B147" s="53">
        <v>43830.0</v>
      </c>
      <c r="C147" s="54">
        <v>2.0</v>
      </c>
      <c r="D147" s="54">
        <f t="shared" si="1"/>
        <v>0.082</v>
      </c>
      <c r="E147" s="42"/>
      <c r="F147" s="42"/>
    </row>
    <row r="148">
      <c r="A148" s="42"/>
      <c r="B148" s="55">
        <v>43921.0</v>
      </c>
      <c r="C148" s="54">
        <v>1.2</v>
      </c>
      <c r="D148" s="54">
        <f t="shared" si="1"/>
        <v>0.049</v>
      </c>
      <c r="E148" s="42"/>
      <c r="F148" s="42"/>
    </row>
    <row r="149">
      <c r="A149" s="42"/>
      <c r="B149" s="55">
        <v>44012.0</v>
      </c>
      <c r="C149" s="54">
        <v>-6.1</v>
      </c>
      <c r="D149" s="54">
        <f t="shared" si="1"/>
        <v>-0.223</v>
      </c>
      <c r="E149" s="42"/>
      <c r="F149" s="42"/>
    </row>
    <row r="150">
      <c r="A150" s="42"/>
      <c r="B150" s="55">
        <v>44104.0</v>
      </c>
      <c r="C150" s="54">
        <v>-3.2</v>
      </c>
      <c r="D150" s="54">
        <f t="shared" si="1"/>
        <v>-0.122</v>
      </c>
      <c r="E150" s="42"/>
      <c r="F150" s="42"/>
    </row>
    <row r="151">
      <c r="A151" s="42"/>
      <c r="B151" s="53">
        <v>44196.0</v>
      </c>
      <c r="C151" s="54">
        <v>-0.4</v>
      </c>
      <c r="D151" s="54">
        <f t="shared" si="1"/>
        <v>-0.016</v>
      </c>
      <c r="E151" s="42"/>
      <c r="F151" s="42"/>
    </row>
    <row r="152">
      <c r="A152" s="42"/>
      <c r="B152" s="55">
        <v>44286.0</v>
      </c>
      <c r="C152" s="54">
        <v>2.0</v>
      </c>
      <c r="D152" s="54">
        <f t="shared" si="1"/>
        <v>0.082</v>
      </c>
      <c r="E152" s="42"/>
      <c r="F152" s="42"/>
    </row>
    <row r="153">
      <c r="A153" s="42"/>
      <c r="B153" s="55">
        <v>44377.0</v>
      </c>
      <c r="C153" s="54">
        <v>10.6</v>
      </c>
      <c r="D153" s="54">
        <f t="shared" si="1"/>
        <v>0.496</v>
      </c>
      <c r="E153" s="42"/>
      <c r="F153" s="42"/>
    </row>
    <row r="154">
      <c r="A154" s="42"/>
      <c r="B154" s="55">
        <v>44469.0</v>
      </c>
      <c r="C154" s="54">
        <v>4.7</v>
      </c>
      <c r="D154" s="54">
        <f t="shared" si="1"/>
        <v>0.202</v>
      </c>
      <c r="E154" s="42"/>
      <c r="F154" s="42"/>
    </row>
    <row r="155">
      <c r="A155" s="42"/>
      <c r="B155" s="53">
        <v>44561.0</v>
      </c>
      <c r="C155" s="54">
        <v>5.1</v>
      </c>
      <c r="D155" s="54">
        <f t="shared" si="1"/>
        <v>0.22</v>
      </c>
      <c r="E155" s="42"/>
      <c r="F155" s="42"/>
    </row>
    <row r="156">
      <c r="A156" s="42"/>
      <c r="B156" s="55">
        <v>44651.0</v>
      </c>
      <c r="C156" s="54">
        <v>3.7</v>
      </c>
      <c r="D156" s="54">
        <f t="shared" si="1"/>
        <v>0.156</v>
      </c>
      <c r="E156" s="42"/>
      <c r="F156" s="42"/>
    </row>
    <row r="157">
      <c r="A157" s="42"/>
      <c r="B157" s="55">
        <v>44742.0</v>
      </c>
      <c r="C157" s="54">
        <v>3.6</v>
      </c>
      <c r="D157" s="54">
        <f t="shared" si="1"/>
        <v>0.152</v>
      </c>
      <c r="E157" s="42"/>
      <c r="F157" s="42"/>
    </row>
    <row r="158">
      <c r="A158" s="42"/>
      <c r="B158" s="55">
        <v>44834.0</v>
      </c>
      <c r="C158" s="54">
        <v>5.7</v>
      </c>
      <c r="D158" s="54">
        <f t="shared" si="1"/>
        <v>0.248</v>
      </c>
      <c r="E158" s="42"/>
      <c r="F158" s="42"/>
    </row>
    <row r="159">
      <c r="A159" s="42"/>
      <c r="B159" s="53">
        <v>44926.0</v>
      </c>
      <c r="C159" s="54">
        <v>2.5</v>
      </c>
      <c r="D159" s="54">
        <f t="shared" si="1"/>
        <v>0.104</v>
      </c>
      <c r="E159" s="42"/>
      <c r="F159" s="42"/>
    </row>
    <row r="160">
      <c r="A160" s="42"/>
      <c r="B160" s="55">
        <v>45016.0</v>
      </c>
      <c r="C160" s="54">
        <v>2.3</v>
      </c>
      <c r="D160" s="54">
        <f t="shared" si="1"/>
        <v>0.095</v>
      </c>
      <c r="E160" s="42"/>
      <c r="F160" s="42"/>
    </row>
    <row r="161">
      <c r="A161" s="42"/>
      <c r="B161" s="55">
        <v>45107.0</v>
      </c>
      <c r="C161" s="54">
        <v>1.9</v>
      </c>
      <c r="D161" s="54">
        <f t="shared" si="1"/>
        <v>0.078</v>
      </c>
      <c r="E161" s="42"/>
      <c r="F161" s="42"/>
    </row>
    <row r="162">
      <c r="A162" s="42"/>
      <c r="B162" s="55">
        <v>45199.0</v>
      </c>
      <c r="C162" s="54">
        <v>2.1</v>
      </c>
      <c r="D162" s="54">
        <f t="shared" si="1"/>
        <v>0.087</v>
      </c>
      <c r="E162" s="42"/>
      <c r="F162" s="42"/>
    </row>
    <row r="163">
      <c r="A163" s="42"/>
      <c r="B163" s="53">
        <v>45291.0</v>
      </c>
      <c r="C163" s="54">
        <v>1.6</v>
      </c>
      <c r="D163" s="54">
        <f t="shared" si="1"/>
        <v>0.066</v>
      </c>
      <c r="E163" s="42"/>
      <c r="F163" s="42"/>
    </row>
    <row r="164">
      <c r="A164" s="42"/>
      <c r="B164" s="55">
        <v>45382.0</v>
      </c>
      <c r="C164" s="54">
        <v>1.3</v>
      </c>
      <c r="D164" s="54">
        <f t="shared" si="1"/>
        <v>0.053</v>
      </c>
      <c r="E164" s="42"/>
      <c r="F164" s="42"/>
    </row>
    <row r="165">
      <c r="A165" s="42"/>
      <c r="B165" s="55">
        <v>45473.0</v>
      </c>
      <c r="C165" s="54">
        <v>1.0</v>
      </c>
      <c r="D165" s="54">
        <f t="shared" si="1"/>
        <v>0.041</v>
      </c>
      <c r="E165" s="42"/>
      <c r="F165" s="42"/>
    </row>
    <row r="166">
      <c r="A166" s="42"/>
      <c r="B166" s="42"/>
      <c r="C166" s="42"/>
      <c r="D166" s="42"/>
      <c r="E166" s="42"/>
      <c r="F166" s="42"/>
    </row>
    <row r="167">
      <c r="A167" s="42"/>
      <c r="B167" s="42"/>
      <c r="C167" s="42"/>
      <c r="D167" s="42"/>
      <c r="E167" s="42"/>
      <c r="F167" s="42"/>
    </row>
    <row r="168">
      <c r="A168" s="42"/>
      <c r="B168" s="42"/>
      <c r="C168" s="42"/>
      <c r="D168" s="42"/>
      <c r="E168" s="42"/>
      <c r="F168" s="42"/>
    </row>
    <row r="169">
      <c r="A169" s="42"/>
      <c r="B169" s="42"/>
      <c r="C169" s="42"/>
      <c r="D169" s="42"/>
      <c r="E169" s="42"/>
      <c r="F169" s="42"/>
    </row>
    <row r="170">
      <c r="A170" s="42"/>
      <c r="B170" s="42"/>
      <c r="C170" s="42"/>
      <c r="D170" s="42"/>
      <c r="E170" s="42"/>
      <c r="F170" s="42"/>
    </row>
    <row r="171">
      <c r="A171" s="42"/>
      <c r="B171" s="42"/>
      <c r="C171" s="42"/>
      <c r="D171" s="42"/>
      <c r="E171" s="42"/>
      <c r="F171" s="42"/>
    </row>
    <row r="172">
      <c r="A172" s="42"/>
      <c r="B172" s="42"/>
      <c r="C172" s="42"/>
      <c r="D172" s="42"/>
      <c r="E172" s="42"/>
      <c r="F172" s="42"/>
    </row>
    <row r="173">
      <c r="A173" s="42"/>
      <c r="B173" s="42"/>
      <c r="C173" s="42"/>
      <c r="D173" s="42"/>
      <c r="E173" s="42"/>
      <c r="F173" s="42"/>
    </row>
    <row r="174">
      <c r="A174" s="42"/>
      <c r="B174" s="42"/>
      <c r="C174" s="42"/>
      <c r="D174" s="42"/>
      <c r="E174" s="42"/>
      <c r="F174" s="42"/>
    </row>
    <row r="175">
      <c r="A175" s="42"/>
      <c r="B175" s="42"/>
      <c r="C175" s="42"/>
      <c r="D175" s="42"/>
      <c r="E175" s="42"/>
      <c r="F175" s="42"/>
    </row>
    <row r="176">
      <c r="A176" s="42"/>
      <c r="B176" s="42"/>
      <c r="C176" s="42"/>
      <c r="D176" s="42"/>
      <c r="E176" s="42"/>
      <c r="F176" s="42"/>
    </row>
    <row r="177">
      <c r="A177" s="42"/>
      <c r="B177" s="42"/>
      <c r="C177" s="42"/>
      <c r="D177" s="42"/>
      <c r="E177" s="42"/>
      <c r="F177" s="42"/>
    </row>
    <row r="178">
      <c r="A178" s="42"/>
      <c r="B178" s="42"/>
      <c r="C178" s="42"/>
      <c r="D178" s="42"/>
      <c r="E178" s="42"/>
      <c r="F178" s="42"/>
    </row>
    <row r="179">
      <c r="A179" s="42"/>
      <c r="B179" s="42"/>
      <c r="C179" s="42"/>
      <c r="D179" s="42"/>
      <c r="E179" s="42"/>
      <c r="F179" s="42"/>
    </row>
    <row r="180">
      <c r="A180" s="42"/>
      <c r="B180" s="42"/>
      <c r="C180" s="42"/>
      <c r="D180" s="42"/>
      <c r="E180" s="42"/>
      <c r="F180" s="42"/>
    </row>
    <row r="181">
      <c r="A181" s="42"/>
      <c r="B181" s="42"/>
      <c r="C181" s="42"/>
      <c r="D181" s="42"/>
      <c r="E181" s="42"/>
      <c r="F181" s="42"/>
    </row>
    <row r="182">
      <c r="A182" s="42"/>
      <c r="B182" s="42"/>
      <c r="C182" s="42"/>
      <c r="D182" s="42"/>
      <c r="E182" s="42"/>
      <c r="F182" s="42"/>
    </row>
    <row r="183">
      <c r="A183" s="42"/>
      <c r="B183" s="42"/>
      <c r="C183" s="42"/>
      <c r="D183" s="42"/>
      <c r="E183" s="42"/>
      <c r="F183" s="42"/>
    </row>
    <row r="184">
      <c r="A184" s="42"/>
      <c r="B184" s="42"/>
      <c r="C184" s="42"/>
      <c r="D184" s="42"/>
      <c r="E184" s="42"/>
      <c r="F184" s="42"/>
    </row>
    <row r="185">
      <c r="A185" s="42"/>
      <c r="B185" s="42"/>
      <c r="C185" s="42"/>
      <c r="D185" s="42"/>
      <c r="E185" s="42"/>
      <c r="F185" s="42"/>
    </row>
    <row r="186">
      <c r="A186" s="42"/>
      <c r="B186" s="42"/>
      <c r="C186" s="42"/>
      <c r="D186" s="42"/>
      <c r="E186" s="42"/>
      <c r="F186" s="42"/>
    </row>
    <row r="187">
      <c r="A187" s="42"/>
      <c r="B187" s="42"/>
      <c r="C187" s="42"/>
      <c r="D187" s="42"/>
      <c r="E187" s="42"/>
      <c r="F187" s="42"/>
    </row>
    <row r="188">
      <c r="A188" s="42"/>
      <c r="B188" s="42"/>
      <c r="C188" s="42"/>
      <c r="D188" s="42"/>
      <c r="E188" s="42"/>
      <c r="F188" s="42"/>
    </row>
    <row r="189">
      <c r="A189" s="42"/>
      <c r="B189" s="42"/>
      <c r="C189" s="42"/>
      <c r="D189" s="42"/>
      <c r="E189" s="42"/>
      <c r="F189" s="42"/>
    </row>
    <row r="190">
      <c r="A190" s="42"/>
      <c r="B190" s="42"/>
      <c r="C190" s="42"/>
      <c r="D190" s="42"/>
      <c r="E190" s="42"/>
      <c r="F190" s="42"/>
    </row>
    <row r="191">
      <c r="A191" s="42"/>
      <c r="B191" s="42"/>
      <c r="C191" s="42"/>
      <c r="D191" s="42"/>
      <c r="E191" s="42"/>
      <c r="F191" s="42"/>
    </row>
    <row r="192">
      <c r="A192" s="42"/>
      <c r="B192" s="42"/>
      <c r="C192" s="42"/>
      <c r="D192" s="42"/>
      <c r="E192" s="42"/>
      <c r="F192" s="42"/>
    </row>
    <row r="193">
      <c r="A193" s="42"/>
      <c r="B193" s="42"/>
      <c r="C193" s="42"/>
      <c r="D193" s="42"/>
      <c r="E193" s="42"/>
      <c r="F193" s="42"/>
    </row>
    <row r="194">
      <c r="A194" s="42"/>
      <c r="B194" s="42"/>
      <c r="C194" s="42"/>
      <c r="D194" s="42"/>
      <c r="E194" s="42"/>
      <c r="F194" s="42"/>
    </row>
    <row r="195">
      <c r="A195" s="42"/>
      <c r="B195" s="42"/>
      <c r="C195" s="42"/>
      <c r="D195" s="42"/>
      <c r="E195" s="42"/>
      <c r="F195" s="42"/>
    </row>
    <row r="196">
      <c r="A196" s="42"/>
      <c r="B196" s="42"/>
      <c r="C196" s="42"/>
      <c r="D196" s="42"/>
      <c r="E196" s="42"/>
      <c r="F196" s="42"/>
    </row>
    <row r="197">
      <c r="A197" s="42"/>
      <c r="B197" s="42"/>
      <c r="C197" s="42"/>
      <c r="D197" s="42"/>
      <c r="E197" s="42"/>
      <c r="F197" s="42"/>
    </row>
    <row r="198">
      <c r="A198" s="42"/>
      <c r="B198" s="42"/>
      <c r="C198" s="42"/>
      <c r="D198" s="42"/>
      <c r="E198" s="42"/>
      <c r="F198" s="42"/>
    </row>
    <row r="199">
      <c r="A199" s="42"/>
      <c r="B199" s="42"/>
      <c r="C199" s="42"/>
      <c r="D199" s="42"/>
      <c r="E199" s="42"/>
      <c r="F199" s="42"/>
    </row>
    <row r="200">
      <c r="A200" s="42"/>
      <c r="B200" s="42"/>
      <c r="C200" s="42"/>
      <c r="D200" s="42"/>
      <c r="E200" s="42"/>
      <c r="F200" s="42"/>
    </row>
    <row r="201">
      <c r="A201" s="42"/>
      <c r="B201" s="42"/>
      <c r="C201" s="42"/>
      <c r="D201" s="42"/>
      <c r="E201" s="42"/>
      <c r="F201" s="42"/>
    </row>
    <row r="202">
      <c r="A202" s="42"/>
      <c r="B202" s="42"/>
      <c r="C202" s="42"/>
      <c r="D202" s="42"/>
      <c r="E202" s="42"/>
      <c r="F202" s="42"/>
    </row>
    <row r="203">
      <c r="A203" s="42"/>
      <c r="B203" s="42"/>
      <c r="C203" s="42"/>
      <c r="D203" s="42"/>
      <c r="E203" s="42"/>
      <c r="F203" s="42"/>
    </row>
    <row r="204">
      <c r="A204" s="42"/>
      <c r="B204" s="42"/>
      <c r="C204" s="42"/>
      <c r="D204" s="42"/>
      <c r="E204" s="42"/>
      <c r="F204" s="42"/>
    </row>
    <row r="205">
      <c r="A205" s="42"/>
      <c r="B205" s="42"/>
      <c r="C205" s="42"/>
      <c r="D205" s="42"/>
      <c r="E205" s="42"/>
      <c r="F205" s="42"/>
    </row>
    <row r="206">
      <c r="A206" s="42"/>
      <c r="B206" s="42"/>
      <c r="C206" s="42"/>
      <c r="D206" s="42"/>
      <c r="E206" s="42"/>
      <c r="F206" s="42"/>
    </row>
    <row r="207">
      <c r="A207" s="42"/>
      <c r="B207" s="42"/>
      <c r="C207" s="42"/>
      <c r="D207" s="42"/>
      <c r="E207" s="42"/>
      <c r="F207" s="42"/>
    </row>
    <row r="208">
      <c r="A208" s="42"/>
      <c r="B208" s="42"/>
      <c r="C208" s="42"/>
      <c r="D208" s="42"/>
      <c r="E208" s="42"/>
      <c r="F208" s="42"/>
    </row>
    <row r="209">
      <c r="A209" s="42"/>
      <c r="B209" s="42"/>
      <c r="C209" s="42"/>
      <c r="D209" s="42"/>
      <c r="E209" s="42"/>
      <c r="F209" s="42"/>
    </row>
    <row r="210">
      <c r="A210" s="42"/>
      <c r="B210" s="42"/>
      <c r="C210" s="42"/>
      <c r="D210" s="42"/>
      <c r="E210" s="42"/>
      <c r="F210" s="42"/>
    </row>
    <row r="211">
      <c r="A211" s="42"/>
      <c r="B211" s="42"/>
      <c r="C211" s="42"/>
      <c r="D211" s="42"/>
      <c r="E211" s="42"/>
      <c r="F211" s="42"/>
    </row>
    <row r="212">
      <c r="A212" s="42"/>
      <c r="B212" s="42"/>
      <c r="C212" s="42"/>
      <c r="D212" s="42"/>
      <c r="E212" s="42"/>
      <c r="F212" s="42"/>
    </row>
    <row r="213">
      <c r="A213" s="42"/>
      <c r="B213" s="42"/>
      <c r="C213" s="42"/>
      <c r="D213" s="42"/>
      <c r="E213" s="42"/>
      <c r="F213" s="42"/>
    </row>
  </sheetData>
  <mergeCells count="2">
    <mergeCell ref="B2:D2"/>
    <mergeCell ref="B4:D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4.14"/>
    <col customWidth="1" min="4" max="4" width="36.29"/>
    <col customWidth="1" min="5" max="5" width="33.43"/>
    <col customWidth="1" min="6" max="6" width="29.43"/>
  </cols>
  <sheetData>
    <row r="1">
      <c r="A1" s="42"/>
      <c r="B1" s="42"/>
      <c r="C1" s="42"/>
      <c r="D1" s="42"/>
      <c r="E1" s="42"/>
      <c r="F1" s="42"/>
    </row>
    <row r="2">
      <c r="A2" s="42"/>
      <c r="B2" s="47" t="s">
        <v>187</v>
      </c>
      <c r="E2" s="42"/>
      <c r="F2" s="42"/>
    </row>
    <row r="3">
      <c r="A3" s="42"/>
      <c r="B3" s="42"/>
      <c r="C3" s="42"/>
      <c r="D3" s="42"/>
      <c r="E3" s="42"/>
      <c r="F3" s="42"/>
    </row>
    <row r="4">
      <c r="A4" s="42"/>
      <c r="B4" s="70" t="s">
        <v>188</v>
      </c>
      <c r="E4" s="42"/>
      <c r="F4" s="42"/>
    </row>
    <row r="5">
      <c r="A5" s="42"/>
      <c r="E5" s="42"/>
      <c r="F5" s="42"/>
    </row>
    <row r="6">
      <c r="A6" s="42"/>
      <c r="E6" s="42"/>
      <c r="F6" s="42"/>
    </row>
    <row r="7">
      <c r="A7" s="42"/>
      <c r="E7" s="42"/>
      <c r="F7" s="42"/>
    </row>
    <row r="8">
      <c r="A8" s="42"/>
      <c r="E8" s="42"/>
      <c r="F8" s="42"/>
    </row>
    <row r="9">
      <c r="A9" s="42"/>
      <c r="E9" s="42"/>
      <c r="F9" s="42"/>
    </row>
    <row r="10">
      <c r="A10" s="42"/>
      <c r="E10" s="42"/>
      <c r="F10" s="42"/>
    </row>
    <row r="11" ht="39.75" customHeight="1">
      <c r="A11" s="42"/>
      <c r="E11" s="42"/>
      <c r="F11" s="42"/>
    </row>
    <row r="12">
      <c r="A12" s="42"/>
      <c r="B12" s="42"/>
      <c r="C12" s="42"/>
      <c r="D12" s="42"/>
      <c r="E12" s="42"/>
      <c r="F12" s="42"/>
    </row>
    <row r="13">
      <c r="A13" s="42"/>
      <c r="B13" s="42"/>
      <c r="C13" s="42"/>
      <c r="D13" s="42"/>
      <c r="E13" s="42"/>
      <c r="F13" s="42"/>
    </row>
    <row r="14">
      <c r="A14" s="42"/>
      <c r="B14" s="9" t="s">
        <v>0</v>
      </c>
      <c r="C14" s="71" t="s">
        <v>189</v>
      </c>
      <c r="D14" s="71" t="s">
        <v>190</v>
      </c>
      <c r="E14" s="9" t="s">
        <v>191</v>
      </c>
      <c r="F14" s="71" t="s">
        <v>4</v>
      </c>
    </row>
    <row r="15">
      <c r="A15" s="42"/>
      <c r="B15" s="53">
        <v>31412.0</v>
      </c>
      <c r="C15" s="72">
        <v>197623.0</v>
      </c>
      <c r="D15" s="64">
        <f t="shared" ref="D15:D169" si="1">ROUND(C15*0.65, 3)</f>
        <v>128454.95</v>
      </c>
      <c r="E15" s="73">
        <v>128464.485267687</v>
      </c>
      <c r="F15" s="54">
        <f t="shared" ref="F15:F169" si="2">ROUND((D15-E15)/E15, 3)</f>
        <v>0</v>
      </c>
      <c r="H15" s="74"/>
    </row>
    <row r="16">
      <c r="A16" s="42"/>
      <c r="B16" s="55">
        <v>31502.0</v>
      </c>
      <c r="C16" s="72">
        <v>198991.0</v>
      </c>
      <c r="D16" s="64">
        <f t="shared" si="1"/>
        <v>129344.15</v>
      </c>
      <c r="E16" s="73">
        <v>129697.535353941</v>
      </c>
      <c r="F16" s="54">
        <f t="shared" si="2"/>
        <v>-0.003</v>
      </c>
      <c r="H16" s="75"/>
    </row>
    <row r="17">
      <c r="A17" s="42"/>
      <c r="B17" s="55">
        <v>31593.0</v>
      </c>
      <c r="C17" s="72">
        <v>198640.0</v>
      </c>
      <c r="D17" s="64">
        <f t="shared" si="1"/>
        <v>129116</v>
      </c>
      <c r="E17" s="73">
        <v>130930.579480653</v>
      </c>
      <c r="F17" s="54">
        <f t="shared" si="2"/>
        <v>-0.014</v>
      </c>
    </row>
    <row r="18">
      <c r="A18" s="42"/>
      <c r="B18" s="55">
        <v>31685.0</v>
      </c>
      <c r="C18" s="72">
        <v>199145.0</v>
      </c>
      <c r="D18" s="64">
        <f t="shared" si="1"/>
        <v>129444.25</v>
      </c>
      <c r="E18" s="73">
        <v>132163.390822434</v>
      </c>
      <c r="F18" s="54">
        <f t="shared" si="2"/>
        <v>-0.021</v>
      </c>
    </row>
    <row r="19">
      <c r="A19" s="42"/>
      <c r="B19" s="53">
        <v>31777.0</v>
      </c>
      <c r="C19" s="72">
        <v>202465.0</v>
      </c>
      <c r="D19" s="64">
        <f t="shared" si="1"/>
        <v>131602.25</v>
      </c>
      <c r="E19" s="73">
        <v>133394.60844172</v>
      </c>
      <c r="F19" s="54">
        <f t="shared" si="2"/>
        <v>-0.013</v>
      </c>
    </row>
    <row r="20">
      <c r="A20" s="42"/>
      <c r="B20" s="55">
        <v>31867.0</v>
      </c>
      <c r="C20" s="72">
        <v>204443.0</v>
      </c>
      <c r="D20" s="64">
        <f t="shared" si="1"/>
        <v>132887.95</v>
      </c>
      <c r="E20" s="73">
        <v>134621.171937933</v>
      </c>
      <c r="F20" s="54">
        <f t="shared" si="2"/>
        <v>-0.013</v>
      </c>
    </row>
    <row r="21">
      <c r="A21" s="42"/>
      <c r="B21" s="55">
        <v>31958.0</v>
      </c>
      <c r="C21" s="72">
        <v>207707.0</v>
      </c>
      <c r="D21" s="64">
        <f t="shared" si="1"/>
        <v>135009.55</v>
      </c>
      <c r="E21" s="73">
        <v>135838.900686469</v>
      </c>
      <c r="F21" s="54">
        <f t="shared" si="2"/>
        <v>-0.006</v>
      </c>
    </row>
    <row r="22">
      <c r="A22" s="42"/>
      <c r="B22" s="55">
        <v>32050.0</v>
      </c>
      <c r="C22" s="72">
        <v>211445.0</v>
      </c>
      <c r="D22" s="64">
        <f t="shared" si="1"/>
        <v>137439.25</v>
      </c>
      <c r="E22" s="73">
        <v>137042.530799013</v>
      </c>
      <c r="F22" s="54">
        <f t="shared" si="2"/>
        <v>0.003</v>
      </c>
    </row>
    <row r="23">
      <c r="A23" s="42"/>
      <c r="B23" s="53">
        <v>32142.0</v>
      </c>
      <c r="C23" s="72">
        <v>215722.0</v>
      </c>
      <c r="D23" s="64">
        <f t="shared" si="1"/>
        <v>140219.3</v>
      </c>
      <c r="E23" s="73">
        <v>138226.28004307</v>
      </c>
      <c r="F23" s="54">
        <f t="shared" si="2"/>
        <v>0.014</v>
      </c>
    </row>
    <row r="24">
      <c r="A24" s="42"/>
      <c r="B24" s="55">
        <v>32233.0</v>
      </c>
      <c r="C24" s="72">
        <v>216592.0</v>
      </c>
      <c r="D24" s="64">
        <f t="shared" si="1"/>
        <v>140784.8</v>
      </c>
      <c r="E24" s="73">
        <v>139384.614135646</v>
      </c>
      <c r="F24" s="54">
        <f t="shared" si="2"/>
        <v>0.01</v>
      </c>
    </row>
    <row r="25">
      <c r="A25" s="42"/>
      <c r="B25" s="55">
        <v>32324.0</v>
      </c>
      <c r="C25" s="72">
        <v>216823.0</v>
      </c>
      <c r="D25" s="64">
        <f t="shared" si="1"/>
        <v>140934.95</v>
      </c>
      <c r="E25" s="73">
        <v>140513.244431222</v>
      </c>
      <c r="F25" s="54">
        <f t="shared" si="2"/>
        <v>0.003</v>
      </c>
    </row>
    <row r="26">
      <c r="A26" s="42"/>
      <c r="B26" s="55">
        <v>32416.0</v>
      </c>
      <c r="C26" s="72">
        <v>218569.0</v>
      </c>
      <c r="D26" s="64">
        <f t="shared" si="1"/>
        <v>142069.85</v>
      </c>
      <c r="E26" s="73">
        <v>141608.757400441</v>
      </c>
      <c r="F26" s="54">
        <f t="shared" si="2"/>
        <v>0.003</v>
      </c>
    </row>
    <row r="27">
      <c r="A27" s="42"/>
      <c r="B27" s="53">
        <v>32508.0</v>
      </c>
      <c r="C27" s="72">
        <v>222118.0</v>
      </c>
      <c r="D27" s="64">
        <f t="shared" si="1"/>
        <v>144376.7</v>
      </c>
      <c r="E27" s="73">
        <v>142668.003079929</v>
      </c>
      <c r="F27" s="54">
        <f t="shared" si="2"/>
        <v>0.012</v>
      </c>
    </row>
    <row r="28">
      <c r="A28" s="42"/>
      <c r="B28" s="55">
        <v>32598.0</v>
      </c>
      <c r="C28" s="72">
        <v>224204.0</v>
      </c>
      <c r="D28" s="64">
        <f t="shared" si="1"/>
        <v>145732.6</v>
      </c>
      <c r="E28" s="73">
        <v>143688.119689185</v>
      </c>
      <c r="F28" s="54">
        <f t="shared" si="2"/>
        <v>0.014</v>
      </c>
    </row>
    <row r="29">
      <c r="A29" s="42"/>
      <c r="B29" s="55">
        <v>32689.0</v>
      </c>
      <c r="C29" s="72">
        <v>229071.0</v>
      </c>
      <c r="D29" s="64">
        <f t="shared" si="1"/>
        <v>148896.15</v>
      </c>
      <c r="E29" s="73">
        <v>144667.313383284</v>
      </c>
      <c r="F29" s="54">
        <f t="shared" si="2"/>
        <v>0.029</v>
      </c>
    </row>
    <row r="30">
      <c r="A30" s="42"/>
      <c r="B30" s="55">
        <v>32781.0</v>
      </c>
      <c r="C30" s="72">
        <v>230987.0</v>
      </c>
      <c r="D30" s="64">
        <f t="shared" si="1"/>
        <v>150141.55</v>
      </c>
      <c r="E30" s="73">
        <v>145605.068117497</v>
      </c>
      <c r="F30" s="54">
        <f t="shared" si="2"/>
        <v>0.031</v>
      </c>
    </row>
    <row r="31">
      <c r="A31" s="42"/>
      <c r="B31" s="53">
        <v>32873.0</v>
      </c>
      <c r="C31" s="72">
        <v>230362.0</v>
      </c>
      <c r="D31" s="64">
        <f t="shared" si="1"/>
        <v>149735.3</v>
      </c>
      <c r="E31" s="73">
        <v>146503.510869976</v>
      </c>
      <c r="F31" s="54">
        <f t="shared" si="2"/>
        <v>0.022</v>
      </c>
    </row>
    <row r="32">
      <c r="A32" s="42"/>
      <c r="B32" s="55">
        <v>32963.0</v>
      </c>
      <c r="C32" s="72">
        <v>232145.0</v>
      </c>
      <c r="D32" s="64">
        <f t="shared" si="1"/>
        <v>150894.25</v>
      </c>
      <c r="E32" s="73">
        <v>147367.603920055</v>
      </c>
      <c r="F32" s="54">
        <f t="shared" si="2"/>
        <v>0.024</v>
      </c>
    </row>
    <row r="33">
      <c r="A33" s="42"/>
      <c r="B33" s="55">
        <v>33054.0</v>
      </c>
      <c r="C33" s="72">
        <v>232464.0</v>
      </c>
      <c r="D33" s="64">
        <f t="shared" si="1"/>
        <v>151101.6</v>
      </c>
      <c r="E33" s="73">
        <v>148204.329415269</v>
      </c>
      <c r="F33" s="54">
        <f t="shared" si="2"/>
        <v>0.02</v>
      </c>
    </row>
    <row r="34">
      <c r="A34" s="42"/>
      <c r="B34" s="55">
        <v>33146.0</v>
      </c>
      <c r="C34" s="72">
        <v>231217.0</v>
      </c>
      <c r="D34" s="64">
        <f t="shared" si="1"/>
        <v>150291.05</v>
      </c>
      <c r="E34" s="73">
        <v>149022.873656957</v>
      </c>
      <c r="F34" s="54">
        <f t="shared" si="2"/>
        <v>0.009</v>
      </c>
    </row>
    <row r="35">
      <c r="A35" s="42"/>
      <c r="B35" s="53">
        <v>33238.0</v>
      </c>
      <c r="C35" s="72">
        <v>232473.0</v>
      </c>
      <c r="D35" s="64">
        <f t="shared" si="1"/>
        <v>151107.45</v>
      </c>
      <c r="E35" s="73">
        <v>149834.23374057</v>
      </c>
      <c r="F35" s="54">
        <f t="shared" si="2"/>
        <v>0.008</v>
      </c>
    </row>
    <row r="36">
      <c r="A36" s="42"/>
      <c r="B36" s="55">
        <v>33328.0</v>
      </c>
      <c r="C36" s="72">
        <v>229563.0</v>
      </c>
      <c r="D36" s="64">
        <f t="shared" si="1"/>
        <v>149215.95</v>
      </c>
      <c r="E36" s="73">
        <v>150650.199371777</v>
      </c>
      <c r="F36" s="54">
        <f t="shared" si="2"/>
        <v>-0.01</v>
      </c>
    </row>
    <row r="37">
      <c r="A37" s="42"/>
      <c r="B37" s="55">
        <v>33419.0</v>
      </c>
      <c r="C37" s="72">
        <v>229170.0</v>
      </c>
      <c r="D37" s="64">
        <f t="shared" si="1"/>
        <v>148960.5</v>
      </c>
      <c r="E37" s="73">
        <v>151483.356016407</v>
      </c>
      <c r="F37" s="54">
        <f t="shared" si="2"/>
        <v>-0.017</v>
      </c>
    </row>
    <row r="38">
      <c r="A38" s="42"/>
      <c r="B38" s="55">
        <v>33511.0</v>
      </c>
      <c r="C38" s="72">
        <v>230158.0</v>
      </c>
      <c r="D38" s="64">
        <f t="shared" si="1"/>
        <v>149602.7</v>
      </c>
      <c r="E38" s="73">
        <v>152345.392734432</v>
      </c>
      <c r="F38" s="54">
        <f t="shared" si="2"/>
        <v>-0.018</v>
      </c>
    </row>
    <row r="39">
      <c r="A39" s="42"/>
      <c r="B39" s="53">
        <v>33603.0</v>
      </c>
      <c r="C39" s="72">
        <v>230326.0</v>
      </c>
      <c r="D39" s="64">
        <f t="shared" si="1"/>
        <v>149711.9</v>
      </c>
      <c r="E39" s="73">
        <v>153246.421800813</v>
      </c>
      <c r="F39" s="54">
        <f t="shared" si="2"/>
        <v>-0.023</v>
      </c>
    </row>
    <row r="40">
      <c r="A40" s="42"/>
      <c r="B40" s="55">
        <v>33694.0</v>
      </c>
      <c r="C40" s="72">
        <v>232100.0</v>
      </c>
      <c r="D40" s="64">
        <f t="shared" si="1"/>
        <v>150865</v>
      </c>
      <c r="E40" s="73">
        <v>154194.841307555</v>
      </c>
      <c r="F40" s="54">
        <f t="shared" si="2"/>
        <v>-0.022</v>
      </c>
    </row>
    <row r="41">
      <c r="A41" s="42"/>
      <c r="B41" s="55">
        <v>33785.0</v>
      </c>
      <c r="C41" s="72">
        <v>233782.0</v>
      </c>
      <c r="D41" s="64">
        <f t="shared" si="1"/>
        <v>151958.3</v>
      </c>
      <c r="E41" s="73">
        <v>155196.840270534</v>
      </c>
      <c r="F41" s="54">
        <f t="shared" si="2"/>
        <v>-0.021</v>
      </c>
    </row>
    <row r="42">
      <c r="A42" s="42"/>
      <c r="B42" s="55">
        <v>33877.0</v>
      </c>
      <c r="C42" s="72">
        <v>236082.0</v>
      </c>
      <c r="D42" s="64">
        <f t="shared" si="1"/>
        <v>153453.3</v>
      </c>
      <c r="E42" s="73">
        <v>156256.526554811</v>
      </c>
      <c r="F42" s="54">
        <f t="shared" si="2"/>
        <v>-0.018</v>
      </c>
    </row>
    <row r="43">
      <c r="A43" s="42"/>
      <c r="B43" s="53">
        <v>33969.0</v>
      </c>
      <c r="C43" s="72">
        <v>241004.0</v>
      </c>
      <c r="D43" s="64">
        <f t="shared" si="1"/>
        <v>156652.6</v>
      </c>
      <c r="E43" s="73">
        <v>157375.983937777</v>
      </c>
      <c r="F43" s="54">
        <f t="shared" si="2"/>
        <v>-0.005</v>
      </c>
    </row>
    <row r="44">
      <c r="A44" s="42"/>
      <c r="B44" s="55">
        <v>34059.0</v>
      </c>
      <c r="C44" s="72">
        <v>242672.0</v>
      </c>
      <c r="D44" s="64">
        <f t="shared" si="1"/>
        <v>157736.8</v>
      </c>
      <c r="E44" s="73">
        <v>158555.544180226</v>
      </c>
      <c r="F44" s="54">
        <f t="shared" si="2"/>
        <v>-0.005</v>
      </c>
    </row>
    <row r="45">
      <c r="A45" s="42"/>
      <c r="B45" s="55">
        <v>34150.0</v>
      </c>
      <c r="C45" s="72">
        <v>244082.0</v>
      </c>
      <c r="D45" s="64">
        <f t="shared" si="1"/>
        <v>158653.3</v>
      </c>
      <c r="E45" s="73">
        <v>159795.086927991</v>
      </c>
      <c r="F45" s="54">
        <f t="shared" si="2"/>
        <v>-0.007</v>
      </c>
    </row>
    <row r="46">
      <c r="A46" s="42"/>
      <c r="B46" s="55">
        <v>34242.0</v>
      </c>
      <c r="C46" s="72">
        <v>244391.0</v>
      </c>
      <c r="D46" s="64">
        <f t="shared" si="1"/>
        <v>158854.15</v>
      </c>
      <c r="E46" s="73">
        <v>161093.980111794</v>
      </c>
      <c r="F46" s="54">
        <f t="shared" si="2"/>
        <v>-0.014</v>
      </c>
    </row>
    <row r="47">
      <c r="A47" s="42"/>
      <c r="B47" s="53">
        <v>34334.0</v>
      </c>
      <c r="C47" s="72">
        <v>248839.0</v>
      </c>
      <c r="D47" s="64">
        <f t="shared" si="1"/>
        <v>161745.35</v>
      </c>
      <c r="E47" s="73">
        <v>162450.878045524</v>
      </c>
      <c r="F47" s="54">
        <f t="shared" si="2"/>
        <v>-0.004</v>
      </c>
    </row>
    <row r="48">
      <c r="A48" s="42"/>
      <c r="B48" s="55">
        <v>34424.0</v>
      </c>
      <c r="C48" s="72">
        <v>252974.0</v>
      </c>
      <c r="D48" s="64">
        <f t="shared" si="1"/>
        <v>164433.1</v>
      </c>
      <c r="E48" s="73">
        <v>163863.035149254</v>
      </c>
      <c r="F48" s="54">
        <f t="shared" si="2"/>
        <v>0.003</v>
      </c>
    </row>
    <row r="49">
      <c r="A49" s="42"/>
      <c r="B49" s="55">
        <v>34515.0</v>
      </c>
      <c r="C49" s="72">
        <v>255994.0</v>
      </c>
      <c r="D49" s="64">
        <f t="shared" si="1"/>
        <v>166396.1</v>
      </c>
      <c r="E49" s="73">
        <v>165327.264888025</v>
      </c>
      <c r="F49" s="54">
        <f t="shared" si="2"/>
        <v>0.006</v>
      </c>
    </row>
    <row r="50">
      <c r="A50" s="42"/>
      <c r="B50" s="55">
        <v>34607.0</v>
      </c>
      <c r="C50" s="72">
        <v>257951.0</v>
      </c>
      <c r="D50" s="64">
        <f t="shared" si="1"/>
        <v>167668.15</v>
      </c>
      <c r="E50" s="73">
        <v>166840.737017412</v>
      </c>
      <c r="F50" s="54">
        <f t="shared" si="2"/>
        <v>0.005</v>
      </c>
    </row>
    <row r="51">
      <c r="A51" s="42"/>
      <c r="B51" s="53">
        <v>34699.0</v>
      </c>
      <c r="C51" s="72">
        <v>260785.0</v>
      </c>
      <c r="D51" s="64">
        <f t="shared" si="1"/>
        <v>169510.25</v>
      </c>
      <c r="E51" s="73">
        <v>168401.289314934</v>
      </c>
      <c r="F51" s="54">
        <f t="shared" si="2"/>
        <v>0.007</v>
      </c>
    </row>
    <row r="52">
      <c r="A52" s="42"/>
      <c r="B52" s="55">
        <v>34789.0</v>
      </c>
      <c r="C52" s="72">
        <v>260574.0</v>
      </c>
      <c r="D52" s="64">
        <f t="shared" si="1"/>
        <v>169373.1</v>
      </c>
      <c r="E52" s="73">
        <v>170007.276691223</v>
      </c>
      <c r="F52" s="54">
        <f t="shared" si="2"/>
        <v>-0.004</v>
      </c>
    </row>
    <row r="53">
      <c r="A53" s="42"/>
      <c r="B53" s="55">
        <v>34880.0</v>
      </c>
      <c r="C53" s="72">
        <v>261806.0</v>
      </c>
      <c r="D53" s="64">
        <f t="shared" si="1"/>
        <v>170173.9</v>
      </c>
      <c r="E53" s="73">
        <v>171657.747157343</v>
      </c>
      <c r="F53" s="54">
        <f t="shared" si="2"/>
        <v>-0.009</v>
      </c>
    </row>
    <row r="54">
      <c r="A54" s="42"/>
      <c r="B54" s="55">
        <v>34972.0</v>
      </c>
      <c r="C54" s="72">
        <v>267774.0</v>
      </c>
      <c r="D54" s="64">
        <f t="shared" si="1"/>
        <v>174053.1</v>
      </c>
      <c r="E54" s="73">
        <v>173351.352363921</v>
      </c>
      <c r="F54" s="54">
        <f t="shared" si="2"/>
        <v>0.004</v>
      </c>
    </row>
    <row r="55">
      <c r="A55" s="42"/>
      <c r="B55" s="53">
        <v>35064.0</v>
      </c>
      <c r="C55" s="72">
        <v>267829.0</v>
      </c>
      <c r="D55" s="64">
        <f t="shared" si="1"/>
        <v>174088.85</v>
      </c>
      <c r="E55" s="73">
        <v>175085.816557114</v>
      </c>
      <c r="F55" s="54">
        <f t="shared" si="2"/>
        <v>-0.006</v>
      </c>
    </row>
    <row r="56">
      <c r="A56" s="42"/>
      <c r="B56" s="55">
        <v>35155.0</v>
      </c>
      <c r="C56" s="72">
        <v>271977.0</v>
      </c>
      <c r="D56" s="64">
        <f t="shared" si="1"/>
        <v>176785.05</v>
      </c>
      <c r="E56" s="73">
        <v>176859.302575351</v>
      </c>
      <c r="F56" s="54">
        <f t="shared" si="2"/>
        <v>0</v>
      </c>
    </row>
    <row r="57">
      <c r="A57" s="42"/>
      <c r="B57" s="55">
        <v>35246.0</v>
      </c>
      <c r="C57" s="72">
        <v>273762.0</v>
      </c>
      <c r="D57" s="64">
        <f t="shared" si="1"/>
        <v>177945.3</v>
      </c>
      <c r="E57" s="73">
        <v>178669.350152961</v>
      </c>
      <c r="F57" s="54">
        <f t="shared" si="2"/>
        <v>-0.004</v>
      </c>
    </row>
    <row r="58">
      <c r="A58" s="42"/>
      <c r="B58" s="55">
        <v>35338.0</v>
      </c>
      <c r="C58" s="72">
        <v>275959.0</v>
      </c>
      <c r="D58" s="64">
        <f t="shared" si="1"/>
        <v>179373.35</v>
      </c>
      <c r="E58" s="73">
        <v>180513.452616415</v>
      </c>
      <c r="F58" s="54">
        <f t="shared" si="2"/>
        <v>-0.006</v>
      </c>
    </row>
    <row r="59">
      <c r="A59" s="42"/>
      <c r="B59" s="53">
        <v>35430.0</v>
      </c>
      <c r="C59" s="72">
        <v>278505.0</v>
      </c>
      <c r="D59" s="64">
        <f t="shared" si="1"/>
        <v>181028.25</v>
      </c>
      <c r="E59" s="73">
        <v>182388.650760839</v>
      </c>
      <c r="F59" s="54">
        <f t="shared" si="2"/>
        <v>-0.007</v>
      </c>
    </row>
    <row r="60">
      <c r="A60" s="42"/>
      <c r="B60" s="55">
        <v>35520.0</v>
      </c>
      <c r="C60" s="72">
        <v>280396.0</v>
      </c>
      <c r="D60" s="64">
        <f t="shared" si="1"/>
        <v>182257.4</v>
      </c>
      <c r="E60" s="73">
        <v>184291.272817223</v>
      </c>
      <c r="F60" s="54">
        <f t="shared" si="2"/>
        <v>-0.011</v>
      </c>
    </row>
    <row r="61">
      <c r="A61" s="42"/>
      <c r="B61" s="55">
        <v>35611.0</v>
      </c>
      <c r="C61" s="72">
        <v>288799.0</v>
      </c>
      <c r="D61" s="64">
        <f t="shared" si="1"/>
        <v>187719.35</v>
      </c>
      <c r="E61" s="73">
        <v>186216.79676608</v>
      </c>
      <c r="F61" s="54">
        <f t="shared" si="2"/>
        <v>0.008</v>
      </c>
    </row>
    <row r="62">
      <c r="A62" s="42"/>
      <c r="B62" s="55">
        <v>35703.0</v>
      </c>
      <c r="C62" s="72">
        <v>289133.0</v>
      </c>
      <c r="D62" s="64">
        <f t="shared" si="1"/>
        <v>187936.45</v>
      </c>
      <c r="E62" s="73">
        <v>188159.429417414</v>
      </c>
      <c r="F62" s="54">
        <f t="shared" si="2"/>
        <v>-0.001</v>
      </c>
    </row>
    <row r="63">
      <c r="A63" s="42"/>
      <c r="B63" s="53">
        <v>35795.0</v>
      </c>
      <c r="C63" s="72">
        <v>293406.0</v>
      </c>
      <c r="D63" s="64">
        <f t="shared" si="1"/>
        <v>190713.9</v>
      </c>
      <c r="E63" s="73">
        <v>190114.316677</v>
      </c>
      <c r="F63" s="54">
        <f t="shared" si="2"/>
        <v>0.003</v>
      </c>
    </row>
    <row r="64">
      <c r="A64" s="42"/>
      <c r="B64" s="55">
        <v>35885.0</v>
      </c>
      <c r="C64" s="72">
        <v>295324.0</v>
      </c>
      <c r="D64" s="64">
        <f t="shared" si="1"/>
        <v>191960.6</v>
      </c>
      <c r="E64" s="73">
        <v>192076.465088477</v>
      </c>
      <c r="F64" s="54">
        <f t="shared" si="2"/>
        <v>-0.001</v>
      </c>
    </row>
    <row r="65">
      <c r="A65" s="42"/>
      <c r="B65" s="55">
        <v>35976.0</v>
      </c>
      <c r="C65" s="72">
        <v>298195.0</v>
      </c>
      <c r="D65" s="64">
        <f t="shared" si="1"/>
        <v>193826.75</v>
      </c>
      <c r="E65" s="73">
        <v>194041.255935059</v>
      </c>
      <c r="F65" s="54">
        <f t="shared" si="2"/>
        <v>-0.001</v>
      </c>
    </row>
    <row r="66">
      <c r="A66" s="42"/>
      <c r="B66" s="55">
        <v>36068.0</v>
      </c>
      <c r="C66" s="72">
        <v>303806.0</v>
      </c>
      <c r="D66" s="64">
        <f t="shared" si="1"/>
        <v>197473.9</v>
      </c>
      <c r="E66" s="73">
        <v>196003.998084283</v>
      </c>
      <c r="F66" s="54">
        <f t="shared" si="2"/>
        <v>0.007</v>
      </c>
    </row>
    <row r="67">
      <c r="A67" s="42"/>
      <c r="B67" s="53">
        <v>36160.0</v>
      </c>
      <c r="C67" s="72">
        <v>308573.0</v>
      </c>
      <c r="D67" s="64">
        <f t="shared" si="1"/>
        <v>200572.45</v>
      </c>
      <c r="E67" s="73">
        <v>197959.866337473</v>
      </c>
      <c r="F67" s="54">
        <f t="shared" si="2"/>
        <v>0.013</v>
      </c>
    </row>
    <row r="68">
      <c r="A68" s="42"/>
      <c r="B68" s="55">
        <v>36250.0</v>
      </c>
      <c r="C68" s="72">
        <v>310858.0</v>
      </c>
      <c r="D68" s="64">
        <f t="shared" si="1"/>
        <v>202057.7</v>
      </c>
      <c r="E68" s="73">
        <v>199904.954184653</v>
      </c>
      <c r="F68" s="54">
        <f t="shared" si="2"/>
        <v>0.011</v>
      </c>
    </row>
    <row r="69">
      <c r="A69" s="42"/>
      <c r="B69" s="55">
        <v>36341.0</v>
      </c>
      <c r="C69" s="72">
        <v>311949.0</v>
      </c>
      <c r="D69" s="64">
        <f t="shared" si="1"/>
        <v>202766.85</v>
      </c>
      <c r="E69" s="73">
        <v>201836.987980635</v>
      </c>
      <c r="F69" s="54">
        <f t="shared" si="2"/>
        <v>0.005</v>
      </c>
    </row>
    <row r="70">
      <c r="A70" s="42"/>
      <c r="B70" s="55">
        <v>36433.0</v>
      </c>
      <c r="C70" s="72">
        <v>315502.0</v>
      </c>
      <c r="D70" s="64">
        <f t="shared" si="1"/>
        <v>205076.3</v>
      </c>
      <c r="E70" s="73">
        <v>203755.039546366</v>
      </c>
      <c r="F70" s="54">
        <f t="shared" si="2"/>
        <v>0.006</v>
      </c>
    </row>
    <row r="71">
      <c r="A71" s="42"/>
      <c r="B71" s="53">
        <v>36525.0</v>
      </c>
      <c r="C71" s="72">
        <v>320872.0</v>
      </c>
      <c r="D71" s="64">
        <f t="shared" si="1"/>
        <v>208566.8</v>
      </c>
      <c r="E71" s="73">
        <v>205658.761866554</v>
      </c>
      <c r="F71" s="54">
        <f t="shared" si="2"/>
        <v>0.014</v>
      </c>
    </row>
    <row r="72">
      <c r="A72" s="42"/>
      <c r="B72" s="55">
        <v>36616.0</v>
      </c>
      <c r="C72" s="72">
        <v>322084.0</v>
      </c>
      <c r="D72" s="64">
        <f t="shared" si="1"/>
        <v>209354.6</v>
      </c>
      <c r="E72" s="73">
        <v>207548.633713692</v>
      </c>
      <c r="F72" s="54">
        <f t="shared" si="2"/>
        <v>0.009</v>
      </c>
    </row>
    <row r="73">
      <c r="A73" s="42"/>
      <c r="B73" s="55">
        <v>36707.0</v>
      </c>
      <c r="C73" s="72">
        <v>325165.0</v>
      </c>
      <c r="D73" s="64">
        <f t="shared" si="1"/>
        <v>211357.25</v>
      </c>
      <c r="E73" s="73">
        <v>209426.951384106</v>
      </c>
      <c r="F73" s="54">
        <f t="shared" si="2"/>
        <v>0.009</v>
      </c>
    </row>
    <row r="74">
      <c r="A74" s="42"/>
      <c r="B74" s="55">
        <v>36799.0</v>
      </c>
      <c r="C74" s="72">
        <v>326061.0</v>
      </c>
      <c r="D74" s="64">
        <f t="shared" si="1"/>
        <v>211939.65</v>
      </c>
      <c r="E74" s="73">
        <v>211297.13990305</v>
      </c>
      <c r="F74" s="54">
        <f t="shared" si="2"/>
        <v>0.003</v>
      </c>
    </row>
    <row r="75">
      <c r="A75" s="42"/>
      <c r="B75" s="53">
        <v>36891.0</v>
      </c>
      <c r="C75" s="72">
        <v>324829.0</v>
      </c>
      <c r="D75" s="64">
        <f t="shared" si="1"/>
        <v>211138.85</v>
      </c>
      <c r="E75" s="73">
        <v>213163.830732415</v>
      </c>
      <c r="F75" s="54">
        <f t="shared" si="2"/>
        <v>-0.009</v>
      </c>
    </row>
    <row r="76">
      <c r="A76" s="42"/>
      <c r="B76" s="55">
        <v>36981.0</v>
      </c>
      <c r="C76" s="72">
        <v>327913.0</v>
      </c>
      <c r="D76" s="64">
        <f t="shared" si="1"/>
        <v>213143.45</v>
      </c>
      <c r="E76" s="73">
        <v>215032.0569029</v>
      </c>
      <c r="F76" s="54">
        <f t="shared" si="2"/>
        <v>-0.009</v>
      </c>
    </row>
    <row r="77">
      <c r="A77" s="42"/>
      <c r="B77" s="55">
        <v>37072.0</v>
      </c>
      <c r="C77" s="72">
        <v>330815.0</v>
      </c>
      <c r="D77" s="64">
        <f t="shared" si="1"/>
        <v>215029.75</v>
      </c>
      <c r="E77" s="73">
        <v>216905.585832249</v>
      </c>
      <c r="F77" s="54">
        <f t="shared" si="2"/>
        <v>-0.009</v>
      </c>
    </row>
    <row r="78">
      <c r="A78" s="42"/>
      <c r="B78" s="55">
        <v>37164.0</v>
      </c>
      <c r="C78" s="72">
        <v>334632.0</v>
      </c>
      <c r="D78" s="64">
        <f t="shared" si="1"/>
        <v>217510.8</v>
      </c>
      <c r="E78" s="73">
        <v>218787.004558888</v>
      </c>
      <c r="F78" s="54">
        <f t="shared" si="2"/>
        <v>-0.006</v>
      </c>
    </row>
    <row r="79">
      <c r="A79" s="42"/>
      <c r="B79" s="53">
        <v>37256.0</v>
      </c>
      <c r="C79" s="72">
        <v>338610.0</v>
      </c>
      <c r="D79" s="64">
        <f t="shared" si="1"/>
        <v>220096.5</v>
      </c>
      <c r="E79" s="73">
        <v>220677.727723852</v>
      </c>
      <c r="F79" s="54">
        <f t="shared" si="2"/>
        <v>-0.003</v>
      </c>
    </row>
    <row r="80">
      <c r="A80" s="42"/>
      <c r="B80" s="55">
        <v>37346.0</v>
      </c>
      <c r="C80" s="72">
        <v>341286.0</v>
      </c>
      <c r="D80" s="64">
        <f t="shared" si="1"/>
        <v>221835.9</v>
      </c>
      <c r="E80" s="73">
        <v>222578.372340323</v>
      </c>
      <c r="F80" s="54">
        <f t="shared" si="2"/>
        <v>-0.003</v>
      </c>
    </row>
    <row r="81">
      <c r="A81" s="42"/>
      <c r="B81" s="55">
        <v>37437.0</v>
      </c>
      <c r="C81" s="72">
        <v>347208.0</v>
      </c>
      <c r="D81" s="64">
        <f t="shared" si="1"/>
        <v>225685.2</v>
      </c>
      <c r="E81" s="73">
        <v>224489.192154159</v>
      </c>
      <c r="F81" s="54">
        <f t="shared" si="2"/>
        <v>0.005</v>
      </c>
    </row>
    <row r="82">
      <c r="A82" s="42"/>
      <c r="B82" s="55">
        <v>37529.0</v>
      </c>
      <c r="C82" s="72">
        <v>348016.0</v>
      </c>
      <c r="D82" s="64">
        <f t="shared" si="1"/>
        <v>226210.4</v>
      </c>
      <c r="E82" s="73">
        <v>226409.976866003</v>
      </c>
      <c r="F82" s="54">
        <f t="shared" si="2"/>
        <v>-0.001</v>
      </c>
    </row>
    <row r="83">
      <c r="A83" s="42"/>
      <c r="B83" s="53">
        <v>37621.0</v>
      </c>
      <c r="C83" s="72">
        <v>350903.0</v>
      </c>
      <c r="D83" s="64">
        <f t="shared" si="1"/>
        <v>228086.95</v>
      </c>
      <c r="E83" s="73">
        <v>228341.263681402</v>
      </c>
      <c r="F83" s="54">
        <f t="shared" si="2"/>
        <v>-0.001</v>
      </c>
    </row>
    <row r="84">
      <c r="A84" s="42"/>
      <c r="B84" s="55">
        <v>37711.0</v>
      </c>
      <c r="C84" s="72">
        <v>351702.0</v>
      </c>
      <c r="D84" s="64">
        <f t="shared" si="1"/>
        <v>228606.3</v>
      </c>
      <c r="E84" s="73">
        <v>230283.465070363</v>
      </c>
      <c r="F84" s="54">
        <f t="shared" si="2"/>
        <v>-0.007</v>
      </c>
    </row>
    <row r="85">
      <c r="A85" s="42"/>
      <c r="B85" s="55">
        <v>37802.0</v>
      </c>
      <c r="C85" s="72">
        <v>353202.0</v>
      </c>
      <c r="D85" s="64">
        <f t="shared" si="1"/>
        <v>229581.3</v>
      </c>
      <c r="E85" s="73">
        <v>232236.83455684</v>
      </c>
      <c r="F85" s="54">
        <f t="shared" si="2"/>
        <v>-0.011</v>
      </c>
    </row>
    <row r="86">
      <c r="A86" s="42"/>
      <c r="B86" s="55">
        <v>37894.0</v>
      </c>
      <c r="C86" s="72">
        <v>359068.0</v>
      </c>
      <c r="D86" s="64">
        <f t="shared" si="1"/>
        <v>233394.2</v>
      </c>
      <c r="E86" s="73">
        <v>234200.57743662</v>
      </c>
      <c r="F86" s="54">
        <f t="shared" si="2"/>
        <v>-0.003</v>
      </c>
    </row>
    <row r="87">
      <c r="A87" s="42"/>
      <c r="B87" s="53">
        <v>37986.0</v>
      </c>
      <c r="C87" s="72">
        <v>365373.0</v>
      </c>
      <c r="D87" s="64">
        <f t="shared" si="1"/>
        <v>237492.45</v>
      </c>
      <c r="E87" s="73">
        <v>236172.23929639</v>
      </c>
      <c r="F87" s="54">
        <f t="shared" si="2"/>
        <v>0.006</v>
      </c>
    </row>
    <row r="88">
      <c r="A88" s="42"/>
      <c r="B88" s="55">
        <v>38077.0</v>
      </c>
      <c r="C88" s="72">
        <v>367992.0</v>
      </c>
      <c r="D88" s="64">
        <f t="shared" si="1"/>
        <v>239194.8</v>
      </c>
      <c r="E88" s="73">
        <v>238148.861736942</v>
      </c>
      <c r="F88" s="54">
        <f t="shared" si="2"/>
        <v>0.004</v>
      </c>
    </row>
    <row r="89">
      <c r="A89" s="42"/>
      <c r="B89" s="55">
        <v>38168.0</v>
      </c>
      <c r="C89" s="72">
        <v>370692.0</v>
      </c>
      <c r="D89" s="64">
        <f t="shared" si="1"/>
        <v>240949.8</v>
      </c>
      <c r="E89" s="73">
        <v>240128.311490755</v>
      </c>
      <c r="F89" s="54">
        <f t="shared" si="2"/>
        <v>0.003</v>
      </c>
    </row>
    <row r="90">
      <c r="A90" s="42"/>
      <c r="B90" s="55">
        <v>38260.0</v>
      </c>
      <c r="C90" s="72">
        <v>373246.0</v>
      </c>
      <c r="D90" s="64">
        <f t="shared" si="1"/>
        <v>242609.9</v>
      </c>
      <c r="E90" s="73">
        <v>242109.109001723</v>
      </c>
      <c r="F90" s="54">
        <f t="shared" si="2"/>
        <v>0.002</v>
      </c>
    </row>
    <row r="91">
      <c r="A91" s="42"/>
      <c r="B91" s="53">
        <v>38352.0</v>
      </c>
      <c r="C91" s="72">
        <v>376060.0</v>
      </c>
      <c r="D91" s="64">
        <f t="shared" si="1"/>
        <v>244439</v>
      </c>
      <c r="E91" s="73">
        <v>244090.288144061</v>
      </c>
      <c r="F91" s="54">
        <f t="shared" si="2"/>
        <v>0.001</v>
      </c>
    </row>
    <row r="92">
      <c r="A92" s="42"/>
      <c r="B92" s="55">
        <v>38442.0</v>
      </c>
      <c r="C92" s="72">
        <v>379100.0</v>
      </c>
      <c r="D92" s="64">
        <f t="shared" si="1"/>
        <v>246415</v>
      </c>
      <c r="E92" s="73">
        <v>246071.195786354</v>
      </c>
      <c r="F92" s="54">
        <f t="shared" si="2"/>
        <v>0.001</v>
      </c>
    </row>
    <row r="93">
      <c r="A93" s="42"/>
      <c r="B93" s="55">
        <v>38533.0</v>
      </c>
      <c r="C93" s="72">
        <v>380867.0</v>
      </c>
      <c r="D93" s="64">
        <f t="shared" si="1"/>
        <v>247563.55</v>
      </c>
      <c r="E93" s="73">
        <v>248051.396742099</v>
      </c>
      <c r="F93" s="54">
        <f t="shared" si="2"/>
        <v>-0.002</v>
      </c>
    </row>
    <row r="94">
      <c r="A94" s="42"/>
      <c r="B94" s="55">
        <v>38625.0</v>
      </c>
      <c r="C94" s="72">
        <v>384866.0</v>
      </c>
      <c r="D94" s="64">
        <f t="shared" si="1"/>
        <v>250162.9</v>
      </c>
      <c r="E94" s="73">
        <v>250030.670702427</v>
      </c>
      <c r="F94" s="54">
        <f t="shared" si="2"/>
        <v>0.001</v>
      </c>
    </row>
    <row r="95">
      <c r="A95" s="42"/>
      <c r="B95" s="53">
        <v>38717.0</v>
      </c>
      <c r="C95" s="72">
        <v>388151.0</v>
      </c>
      <c r="D95" s="64">
        <f t="shared" si="1"/>
        <v>252298.15</v>
      </c>
      <c r="E95" s="73">
        <v>252008.492454255</v>
      </c>
      <c r="F95" s="54">
        <f t="shared" si="2"/>
        <v>0.001</v>
      </c>
    </row>
    <row r="96">
      <c r="A96" s="42"/>
      <c r="B96" s="55">
        <v>38807.0</v>
      </c>
      <c r="C96" s="72">
        <v>388405.0</v>
      </c>
      <c r="D96" s="64">
        <f t="shared" si="1"/>
        <v>252463.25</v>
      </c>
      <c r="E96" s="73">
        <v>253984.41942781</v>
      </c>
      <c r="F96" s="54">
        <f t="shared" si="2"/>
        <v>-0.006</v>
      </c>
    </row>
    <row r="97">
      <c r="A97" s="42"/>
      <c r="B97" s="55">
        <v>38898.0</v>
      </c>
      <c r="C97" s="72">
        <v>389438.0</v>
      </c>
      <c r="D97" s="64">
        <f t="shared" si="1"/>
        <v>253134.7</v>
      </c>
      <c r="E97" s="73">
        <v>255958.190089287</v>
      </c>
      <c r="F97" s="54">
        <f t="shared" si="2"/>
        <v>-0.011</v>
      </c>
    </row>
    <row r="98">
      <c r="A98" s="42"/>
      <c r="B98" s="55">
        <v>38990.0</v>
      </c>
      <c r="C98" s="72">
        <v>395289.0</v>
      </c>
      <c r="D98" s="64">
        <f t="shared" si="1"/>
        <v>256937.85</v>
      </c>
      <c r="E98" s="73">
        <v>257928.592173986</v>
      </c>
      <c r="F98" s="54">
        <f t="shared" si="2"/>
        <v>-0.004</v>
      </c>
    </row>
    <row r="99">
      <c r="A99" s="42"/>
      <c r="B99" s="53">
        <v>39082.0</v>
      </c>
      <c r="C99" s="72">
        <v>400145.0</v>
      </c>
      <c r="D99" s="64">
        <f t="shared" si="1"/>
        <v>260094.25</v>
      </c>
      <c r="E99" s="73">
        <v>259892.648735903</v>
      </c>
      <c r="F99" s="54">
        <f t="shared" si="2"/>
        <v>0.001</v>
      </c>
    </row>
    <row r="100">
      <c r="A100" s="42"/>
      <c r="B100" s="55">
        <v>39172.0</v>
      </c>
      <c r="C100" s="72">
        <v>405612.0</v>
      </c>
      <c r="D100" s="64">
        <f t="shared" si="1"/>
        <v>263647.8</v>
      </c>
      <c r="E100" s="73">
        <v>261846.763615175</v>
      </c>
      <c r="F100" s="54">
        <f t="shared" si="2"/>
        <v>0.007</v>
      </c>
    </row>
    <row r="101">
      <c r="A101" s="42"/>
      <c r="B101" s="55">
        <v>39263.0</v>
      </c>
      <c r="C101" s="72">
        <v>408333.0</v>
      </c>
      <c r="D101" s="64">
        <f t="shared" si="1"/>
        <v>265416.45</v>
      </c>
      <c r="E101" s="73">
        <v>263787.466652729</v>
      </c>
      <c r="F101" s="54">
        <f t="shared" si="2"/>
        <v>0.006</v>
      </c>
    </row>
    <row r="102">
      <c r="A102" s="42"/>
      <c r="B102" s="55">
        <v>39355.0</v>
      </c>
      <c r="C102" s="72">
        <v>413146.0</v>
      </c>
      <c r="D102" s="64">
        <f t="shared" si="1"/>
        <v>268544.9</v>
      </c>
      <c r="E102" s="73">
        <v>265712.413337231</v>
      </c>
      <c r="F102" s="54">
        <f t="shared" si="2"/>
        <v>0.011</v>
      </c>
    </row>
    <row r="103">
      <c r="A103" s="42"/>
      <c r="B103" s="53">
        <v>39447.0</v>
      </c>
      <c r="C103" s="72">
        <v>414578.0</v>
      </c>
      <c r="D103" s="64">
        <f t="shared" si="1"/>
        <v>269475.7</v>
      </c>
      <c r="E103" s="73">
        <v>267620.277271942</v>
      </c>
      <c r="F103" s="54">
        <f t="shared" si="2"/>
        <v>0.007</v>
      </c>
    </row>
    <row r="104">
      <c r="A104" s="42"/>
      <c r="B104" s="55">
        <v>39538.0</v>
      </c>
      <c r="C104" s="72">
        <v>419042.0</v>
      </c>
      <c r="D104" s="64">
        <f t="shared" si="1"/>
        <v>272377.3</v>
      </c>
      <c r="E104" s="73">
        <v>269511.502364284</v>
      </c>
      <c r="F104" s="54">
        <f t="shared" si="2"/>
        <v>0.011</v>
      </c>
    </row>
    <row r="105">
      <c r="A105" s="42"/>
      <c r="B105" s="55">
        <v>39629.0</v>
      </c>
      <c r="C105" s="72">
        <v>420329.0</v>
      </c>
      <c r="D105" s="64">
        <f t="shared" si="1"/>
        <v>273213.85</v>
      </c>
      <c r="E105" s="73">
        <v>271387.692160886</v>
      </c>
      <c r="F105" s="54">
        <f t="shared" si="2"/>
        <v>0.007</v>
      </c>
    </row>
    <row r="106">
      <c r="A106" s="42"/>
      <c r="B106" s="55">
        <v>39721.0</v>
      </c>
      <c r="C106" s="72">
        <v>423271.0</v>
      </c>
      <c r="D106" s="64">
        <f t="shared" si="1"/>
        <v>275126.15</v>
      </c>
      <c r="E106" s="73">
        <v>273252.241331898</v>
      </c>
      <c r="F106" s="54">
        <f t="shared" si="2"/>
        <v>0.007</v>
      </c>
    </row>
    <row r="107">
      <c r="A107" s="42"/>
      <c r="B107" s="53">
        <v>39813.0</v>
      </c>
      <c r="C107" s="72">
        <v>421348.0</v>
      </c>
      <c r="D107" s="64">
        <f t="shared" si="1"/>
        <v>273876.2</v>
      </c>
      <c r="E107" s="73">
        <v>275109.68589612</v>
      </c>
      <c r="F107" s="54">
        <f t="shared" si="2"/>
        <v>-0.004</v>
      </c>
    </row>
    <row r="108">
      <c r="A108" s="42"/>
      <c r="B108" s="55">
        <v>39903.0</v>
      </c>
      <c r="C108" s="72">
        <v>425631.0</v>
      </c>
      <c r="D108" s="64">
        <f t="shared" si="1"/>
        <v>276660.15</v>
      </c>
      <c r="E108" s="73">
        <v>276965.733065272</v>
      </c>
      <c r="F108" s="54">
        <f t="shared" si="2"/>
        <v>-0.001</v>
      </c>
    </row>
    <row r="109">
      <c r="A109" s="42"/>
      <c r="B109" s="55">
        <v>39994.0</v>
      </c>
      <c r="C109" s="72">
        <v>428396.0</v>
      </c>
      <c r="D109" s="64">
        <f t="shared" si="1"/>
        <v>278457.4</v>
      </c>
      <c r="E109" s="73">
        <v>278825.319122384</v>
      </c>
      <c r="F109" s="54">
        <f t="shared" si="2"/>
        <v>-0.001</v>
      </c>
    </row>
    <row r="110">
      <c r="A110" s="42"/>
      <c r="B110" s="55">
        <v>40086.0</v>
      </c>
      <c r="C110" s="72">
        <v>429918.0</v>
      </c>
      <c r="D110" s="64">
        <f t="shared" si="1"/>
        <v>279446.7</v>
      </c>
      <c r="E110" s="73">
        <v>280693.189361075</v>
      </c>
      <c r="F110" s="54">
        <f t="shared" si="2"/>
        <v>-0.004</v>
      </c>
    </row>
    <row r="111">
      <c r="A111" s="42"/>
      <c r="B111" s="53">
        <v>40178.0</v>
      </c>
      <c r="C111" s="72">
        <v>433341.0</v>
      </c>
      <c r="D111" s="64">
        <f t="shared" si="1"/>
        <v>281671.65</v>
      </c>
      <c r="E111" s="73">
        <v>282573.859125512</v>
      </c>
      <c r="F111" s="54">
        <f t="shared" si="2"/>
        <v>-0.003</v>
      </c>
    </row>
    <row r="112">
      <c r="A112" s="42"/>
      <c r="B112" s="55">
        <v>40268.0</v>
      </c>
      <c r="C112" s="72">
        <v>435291.0</v>
      </c>
      <c r="D112" s="64">
        <f t="shared" si="1"/>
        <v>282939.15</v>
      </c>
      <c r="E112" s="73">
        <v>284471.064704008</v>
      </c>
      <c r="F112" s="54">
        <f t="shared" si="2"/>
        <v>-0.005</v>
      </c>
    </row>
    <row r="113">
      <c r="A113" s="42"/>
      <c r="B113" s="55">
        <v>40359.0</v>
      </c>
      <c r="C113" s="72">
        <v>437917.0</v>
      </c>
      <c r="D113" s="64">
        <f t="shared" si="1"/>
        <v>284646.05</v>
      </c>
      <c r="E113" s="73">
        <v>286387.978504176</v>
      </c>
      <c r="F113" s="54">
        <f t="shared" si="2"/>
        <v>-0.006</v>
      </c>
    </row>
    <row r="114">
      <c r="A114" s="42"/>
      <c r="B114" s="55">
        <v>40451.0</v>
      </c>
      <c r="C114" s="72">
        <v>441082.0</v>
      </c>
      <c r="D114" s="64">
        <f t="shared" si="1"/>
        <v>286703.3</v>
      </c>
      <c r="E114" s="73">
        <v>288326.815486939</v>
      </c>
      <c r="F114" s="54">
        <f t="shared" si="2"/>
        <v>-0.006</v>
      </c>
    </row>
    <row r="115">
      <c r="A115" s="42"/>
      <c r="B115" s="53">
        <v>40543.0</v>
      </c>
      <c r="C115" s="72">
        <v>444627.0</v>
      </c>
      <c r="D115" s="64">
        <f t="shared" si="1"/>
        <v>289007.55</v>
      </c>
      <c r="E115" s="73">
        <v>290288.701907902</v>
      </c>
      <c r="F115" s="54">
        <f t="shared" si="2"/>
        <v>-0.004</v>
      </c>
    </row>
    <row r="116">
      <c r="A116" s="42"/>
      <c r="B116" s="55">
        <v>40633.0</v>
      </c>
      <c r="C116" s="72">
        <v>443673.0</v>
      </c>
      <c r="D116" s="64">
        <f t="shared" si="1"/>
        <v>288387.45</v>
      </c>
      <c r="E116" s="73">
        <v>292273.749325494</v>
      </c>
      <c r="F116" s="54">
        <f t="shared" si="2"/>
        <v>-0.013</v>
      </c>
    </row>
    <row r="117">
      <c r="A117" s="42"/>
      <c r="B117" s="55">
        <v>40724.0</v>
      </c>
      <c r="C117" s="72">
        <v>448916.0</v>
      </c>
      <c r="D117" s="64">
        <f t="shared" si="1"/>
        <v>291795.4</v>
      </c>
      <c r="E117" s="73">
        <v>294281.2685782</v>
      </c>
      <c r="F117" s="54">
        <f t="shared" si="2"/>
        <v>-0.008</v>
      </c>
    </row>
    <row r="118">
      <c r="A118" s="42"/>
      <c r="B118" s="55">
        <v>40816.0</v>
      </c>
      <c r="C118" s="72">
        <v>455175.0</v>
      </c>
      <c r="D118" s="64">
        <f t="shared" si="1"/>
        <v>295863.75</v>
      </c>
      <c r="E118" s="73">
        <v>296308.141567426</v>
      </c>
      <c r="F118" s="54">
        <f t="shared" si="2"/>
        <v>-0.001</v>
      </c>
    </row>
    <row r="119">
      <c r="A119" s="42"/>
      <c r="B119" s="53">
        <v>40908.0</v>
      </c>
      <c r="C119" s="72">
        <v>460076.0</v>
      </c>
      <c r="D119" s="64">
        <f t="shared" si="1"/>
        <v>299049.4</v>
      </c>
      <c r="E119" s="73">
        <v>298349.696526719</v>
      </c>
      <c r="F119" s="54">
        <f t="shared" si="2"/>
        <v>0.002</v>
      </c>
    </row>
    <row r="120">
      <c r="A120" s="42"/>
      <c r="B120" s="55">
        <v>40999.0</v>
      </c>
      <c r="C120" s="72">
        <v>464738.0</v>
      </c>
      <c r="D120" s="64">
        <f t="shared" si="1"/>
        <v>302079.7</v>
      </c>
      <c r="E120" s="73">
        <v>300400.983944894</v>
      </c>
      <c r="F120" s="54">
        <f t="shared" si="2"/>
        <v>0.006</v>
      </c>
    </row>
    <row r="121">
      <c r="A121" s="42"/>
      <c r="B121" s="55">
        <v>41090.0</v>
      </c>
      <c r="C121" s="72">
        <v>467990.0</v>
      </c>
      <c r="D121" s="64">
        <f t="shared" si="1"/>
        <v>304193.5</v>
      </c>
      <c r="E121" s="73">
        <v>302457.491625438</v>
      </c>
      <c r="F121" s="54">
        <f t="shared" si="2"/>
        <v>0.006</v>
      </c>
    </row>
    <row r="122">
      <c r="A122" s="42"/>
      <c r="B122" s="55">
        <v>41182.0</v>
      </c>
      <c r="C122" s="72">
        <v>470903.0</v>
      </c>
      <c r="D122" s="64">
        <f t="shared" si="1"/>
        <v>306086.95</v>
      </c>
      <c r="E122" s="73">
        <v>304515.756569372</v>
      </c>
      <c r="F122" s="54">
        <f t="shared" si="2"/>
        <v>0.005</v>
      </c>
    </row>
    <row r="123">
      <c r="A123" s="42"/>
      <c r="B123" s="53">
        <v>41274.0</v>
      </c>
      <c r="C123" s="72">
        <v>472773.0</v>
      </c>
      <c r="D123" s="64">
        <f t="shared" si="1"/>
        <v>307302.45</v>
      </c>
      <c r="E123" s="73">
        <v>306573.400782952</v>
      </c>
      <c r="F123" s="54">
        <f t="shared" si="2"/>
        <v>0.002</v>
      </c>
    </row>
    <row r="124">
      <c r="A124" s="42"/>
      <c r="B124" s="55">
        <v>41364.0</v>
      </c>
      <c r="C124" s="72">
        <v>475291.0</v>
      </c>
      <c r="D124" s="64">
        <f t="shared" si="1"/>
        <v>308939.15</v>
      </c>
      <c r="E124" s="73">
        <v>308629.028268327</v>
      </c>
      <c r="F124" s="54">
        <f t="shared" si="2"/>
        <v>0.001</v>
      </c>
    </row>
    <row r="125">
      <c r="A125" s="42"/>
      <c r="B125" s="55">
        <v>41455.0</v>
      </c>
      <c r="C125" s="72">
        <v>477173.0</v>
      </c>
      <c r="D125" s="64">
        <f t="shared" si="1"/>
        <v>310162.45</v>
      </c>
      <c r="E125" s="73">
        <v>310681.698683408</v>
      </c>
      <c r="F125" s="54">
        <f t="shared" si="2"/>
        <v>-0.002</v>
      </c>
    </row>
    <row r="126">
      <c r="A126" s="42"/>
      <c r="B126" s="55">
        <v>41547.0</v>
      </c>
      <c r="C126" s="72">
        <v>480952.0</v>
      </c>
      <c r="D126" s="64">
        <f t="shared" si="1"/>
        <v>312618.8</v>
      </c>
      <c r="E126" s="73">
        <v>312730.665512188</v>
      </c>
      <c r="F126" s="54">
        <f t="shared" si="2"/>
        <v>0</v>
      </c>
    </row>
    <row r="127">
      <c r="A127" s="42"/>
      <c r="B127" s="53">
        <v>41639.0</v>
      </c>
      <c r="C127" s="72">
        <v>484805.0</v>
      </c>
      <c r="D127" s="64">
        <f t="shared" si="1"/>
        <v>315123.25</v>
      </c>
      <c r="E127" s="73">
        <v>314774.857708232</v>
      </c>
      <c r="F127" s="54">
        <f t="shared" si="2"/>
        <v>0.001</v>
      </c>
    </row>
    <row r="128">
      <c r="A128" s="42"/>
      <c r="B128" s="55">
        <v>41729.0</v>
      </c>
      <c r="C128" s="72">
        <v>488643.0</v>
      </c>
      <c r="D128" s="64">
        <f t="shared" si="1"/>
        <v>317617.95</v>
      </c>
      <c r="E128" s="73">
        <v>316813.134309161</v>
      </c>
      <c r="F128" s="54">
        <f t="shared" si="2"/>
        <v>0.003</v>
      </c>
    </row>
    <row r="129">
      <c r="A129" s="42"/>
      <c r="B129" s="55">
        <v>41820.0</v>
      </c>
      <c r="C129" s="72">
        <v>491181.0</v>
      </c>
      <c r="D129" s="64">
        <f t="shared" si="1"/>
        <v>319267.65</v>
      </c>
      <c r="E129" s="73">
        <v>318844.572097777</v>
      </c>
      <c r="F129" s="54">
        <f t="shared" si="2"/>
        <v>0.001</v>
      </c>
    </row>
    <row r="130">
      <c r="A130" s="42"/>
      <c r="B130" s="55">
        <v>41912.0</v>
      </c>
      <c r="C130" s="72">
        <v>493117.0</v>
      </c>
      <c r="D130" s="64">
        <f t="shared" si="1"/>
        <v>320526.05</v>
      </c>
      <c r="E130" s="73">
        <v>320868.750866689</v>
      </c>
      <c r="F130" s="54">
        <f t="shared" si="2"/>
        <v>-0.001</v>
      </c>
    </row>
    <row r="131">
      <c r="A131" s="42"/>
      <c r="B131" s="53">
        <v>42004.0</v>
      </c>
      <c r="C131" s="72">
        <v>494963.0</v>
      </c>
      <c r="D131" s="64">
        <f t="shared" si="1"/>
        <v>321725.95</v>
      </c>
      <c r="E131" s="73">
        <v>322885.514832196</v>
      </c>
      <c r="F131" s="54">
        <f t="shared" si="2"/>
        <v>-0.004</v>
      </c>
    </row>
    <row r="132">
      <c r="A132" s="42"/>
      <c r="B132" s="55">
        <v>42094.0</v>
      </c>
      <c r="C132" s="72">
        <v>499869.0</v>
      </c>
      <c r="D132" s="64">
        <f t="shared" si="1"/>
        <v>324914.85</v>
      </c>
      <c r="E132" s="73">
        <v>324894.494022554</v>
      </c>
      <c r="F132" s="54">
        <f t="shared" si="2"/>
        <v>0</v>
      </c>
    </row>
    <row r="133">
      <c r="A133" s="42"/>
      <c r="B133" s="55">
        <v>42185.0</v>
      </c>
      <c r="C133" s="72">
        <v>500470.0</v>
      </c>
      <c r="D133" s="64">
        <f t="shared" si="1"/>
        <v>325305.5</v>
      </c>
      <c r="E133" s="73">
        <v>326894.593737999</v>
      </c>
      <c r="F133" s="54">
        <f t="shared" si="2"/>
        <v>-0.005</v>
      </c>
    </row>
    <row r="134">
      <c r="A134" s="42"/>
      <c r="B134" s="55">
        <v>42277.0</v>
      </c>
      <c r="C134" s="72">
        <v>505335.0</v>
      </c>
      <c r="D134" s="64">
        <f t="shared" si="1"/>
        <v>328467.75</v>
      </c>
      <c r="E134" s="73">
        <v>328884.732001255</v>
      </c>
      <c r="F134" s="54">
        <f t="shared" si="2"/>
        <v>-0.001</v>
      </c>
    </row>
    <row r="135">
      <c r="A135" s="42"/>
      <c r="B135" s="53">
        <v>42369.0</v>
      </c>
      <c r="C135" s="72">
        <v>508530.0</v>
      </c>
      <c r="D135" s="64">
        <f t="shared" si="1"/>
        <v>330544.5</v>
      </c>
      <c r="E135" s="73">
        <v>330862.833651457</v>
      </c>
      <c r="F135" s="54">
        <f t="shared" si="2"/>
        <v>-0.001</v>
      </c>
    </row>
    <row r="136">
      <c r="A136" s="42"/>
      <c r="B136" s="55">
        <v>42460.0</v>
      </c>
      <c r="C136" s="72">
        <v>513268.0</v>
      </c>
      <c r="D136" s="64">
        <f t="shared" si="1"/>
        <v>333624.2</v>
      </c>
      <c r="E136" s="73">
        <v>332826.562913991</v>
      </c>
      <c r="F136" s="54">
        <f t="shared" si="2"/>
        <v>0.002</v>
      </c>
    </row>
    <row r="137">
      <c r="A137" s="42"/>
      <c r="B137" s="55">
        <v>42551.0</v>
      </c>
      <c r="C137" s="72">
        <v>516547.0</v>
      </c>
      <c r="D137" s="64">
        <f t="shared" si="1"/>
        <v>335755.55</v>
      </c>
      <c r="E137" s="73">
        <v>334773.38505571</v>
      </c>
      <c r="F137" s="54">
        <f t="shared" si="2"/>
        <v>0.003</v>
      </c>
    </row>
    <row r="138">
      <c r="A138" s="42"/>
      <c r="B138" s="55">
        <v>42643.0</v>
      </c>
      <c r="C138" s="72">
        <v>516579.0</v>
      </c>
      <c r="D138" s="64">
        <f t="shared" si="1"/>
        <v>335776.35</v>
      </c>
      <c r="E138" s="73">
        <v>336701.263866647</v>
      </c>
      <c r="F138" s="54">
        <f t="shared" si="2"/>
        <v>-0.003</v>
      </c>
    </row>
    <row r="139">
      <c r="A139" s="42"/>
      <c r="B139" s="53">
        <v>42735.0</v>
      </c>
      <c r="C139" s="72">
        <v>522601.0</v>
      </c>
      <c r="D139" s="64">
        <f t="shared" si="1"/>
        <v>339690.65</v>
      </c>
      <c r="E139" s="73">
        <v>338608.776989924</v>
      </c>
      <c r="F139" s="54">
        <f t="shared" si="2"/>
        <v>0.003</v>
      </c>
    </row>
    <row r="140">
      <c r="A140" s="42"/>
      <c r="B140" s="55">
        <v>42825.0</v>
      </c>
      <c r="C140" s="72">
        <v>524313.0</v>
      </c>
      <c r="D140" s="64">
        <f t="shared" si="1"/>
        <v>340803.45</v>
      </c>
      <c r="E140" s="73">
        <v>340493.923997496</v>
      </c>
      <c r="F140" s="54">
        <f t="shared" si="2"/>
        <v>0.001</v>
      </c>
    </row>
    <row r="141">
      <c r="A141" s="42"/>
      <c r="B141" s="55">
        <v>42916.0</v>
      </c>
      <c r="C141" s="72">
        <v>527574.0</v>
      </c>
      <c r="D141" s="64">
        <f t="shared" si="1"/>
        <v>342923.1</v>
      </c>
      <c r="E141" s="73">
        <v>342355.380631951</v>
      </c>
      <c r="F141" s="54">
        <f t="shared" si="2"/>
        <v>0.002</v>
      </c>
    </row>
    <row r="142">
      <c r="A142" s="42"/>
      <c r="B142" s="55">
        <v>43008.0</v>
      </c>
      <c r="C142" s="72">
        <v>532364.0</v>
      </c>
      <c r="D142" s="64">
        <f t="shared" si="1"/>
        <v>346036.6</v>
      </c>
      <c r="E142" s="73">
        <v>344192.016089626</v>
      </c>
      <c r="F142" s="54">
        <f t="shared" si="2"/>
        <v>0.005</v>
      </c>
    </row>
    <row r="143">
      <c r="A143" s="42"/>
      <c r="B143" s="53">
        <v>43100.0</v>
      </c>
      <c r="C143" s="72">
        <v>534759.0</v>
      </c>
      <c r="D143" s="64">
        <f t="shared" si="1"/>
        <v>347593.35</v>
      </c>
      <c r="E143" s="73">
        <v>346003.054391466</v>
      </c>
      <c r="F143" s="54">
        <f t="shared" si="2"/>
        <v>0.005</v>
      </c>
    </row>
    <row r="144">
      <c r="A144" s="42"/>
      <c r="B144" s="55">
        <v>43190.0</v>
      </c>
      <c r="C144" s="72">
        <v>540336.0</v>
      </c>
      <c r="D144" s="64">
        <f t="shared" si="1"/>
        <v>351218.4</v>
      </c>
      <c r="E144" s="73">
        <v>347788.872423357</v>
      </c>
      <c r="F144" s="54">
        <f t="shared" si="2"/>
        <v>0.01</v>
      </c>
    </row>
    <row r="145">
      <c r="A145" s="42"/>
      <c r="B145" s="55">
        <v>43281.0</v>
      </c>
      <c r="C145" s="72">
        <v>544383.0</v>
      </c>
      <c r="D145" s="64">
        <f t="shared" si="1"/>
        <v>353848.95</v>
      </c>
      <c r="E145" s="73">
        <v>349550.841005943</v>
      </c>
      <c r="F145" s="54">
        <f t="shared" si="2"/>
        <v>0.012</v>
      </c>
    </row>
    <row r="146">
      <c r="A146" s="42"/>
      <c r="B146" s="55">
        <v>43373.0</v>
      </c>
      <c r="C146" s="72">
        <v>546468.0</v>
      </c>
      <c r="D146" s="64">
        <f t="shared" si="1"/>
        <v>355204.2</v>
      </c>
      <c r="E146" s="73">
        <v>351292.474414601</v>
      </c>
      <c r="F146" s="54">
        <f t="shared" si="2"/>
        <v>0.011</v>
      </c>
    </row>
    <row r="147">
      <c r="A147" s="42"/>
      <c r="B147" s="53">
        <v>43465.0</v>
      </c>
      <c r="C147" s="72">
        <v>547747.0</v>
      </c>
      <c r="D147" s="64">
        <f t="shared" si="1"/>
        <v>356035.55</v>
      </c>
      <c r="E147" s="73">
        <v>353019.973242832</v>
      </c>
      <c r="F147" s="54">
        <f t="shared" si="2"/>
        <v>0.009</v>
      </c>
    </row>
    <row r="148">
      <c r="A148" s="42"/>
      <c r="B148" s="55">
        <v>43555.0</v>
      </c>
      <c r="C148" s="72">
        <v>551522.0</v>
      </c>
      <c r="D148" s="64">
        <f t="shared" si="1"/>
        <v>358489.3</v>
      </c>
      <c r="E148" s="73">
        <v>354741.982912625</v>
      </c>
      <c r="F148" s="54">
        <f t="shared" si="2"/>
        <v>0.011</v>
      </c>
    </row>
    <row r="149">
      <c r="A149" s="42"/>
      <c r="B149" s="55">
        <v>43646.0</v>
      </c>
      <c r="C149" s="72">
        <v>553038.0</v>
      </c>
      <c r="D149" s="64">
        <f t="shared" si="1"/>
        <v>359474.7</v>
      </c>
      <c r="E149" s="73">
        <v>356469.033581445</v>
      </c>
      <c r="F149" s="54">
        <f t="shared" si="2"/>
        <v>0.008</v>
      </c>
    </row>
    <row r="150">
      <c r="A150" s="42"/>
      <c r="B150" s="55">
        <v>43738.0</v>
      </c>
      <c r="C150" s="72">
        <v>555644.0</v>
      </c>
      <c r="D150" s="64">
        <f t="shared" si="1"/>
        <v>361168.6</v>
      </c>
      <c r="E150" s="73">
        <v>358213.997479935</v>
      </c>
      <c r="F150" s="54">
        <f t="shared" si="2"/>
        <v>0.008</v>
      </c>
    </row>
    <row r="151">
      <c r="A151" s="42"/>
      <c r="B151" s="53">
        <v>43830.0</v>
      </c>
      <c r="C151" s="72">
        <v>558516.0</v>
      </c>
      <c r="D151" s="64">
        <f t="shared" si="1"/>
        <v>363035.4</v>
      </c>
      <c r="E151" s="73">
        <v>359991.625380249</v>
      </c>
      <c r="F151" s="54">
        <f t="shared" si="2"/>
        <v>0.008</v>
      </c>
    </row>
    <row r="152">
      <c r="A152" s="42"/>
      <c r="B152" s="55">
        <v>43921.0</v>
      </c>
      <c r="C152" s="72">
        <v>557215.0</v>
      </c>
      <c r="D152" s="64">
        <f t="shared" si="1"/>
        <v>362189.75</v>
      </c>
      <c r="E152" s="73">
        <v>361818.514681116</v>
      </c>
      <c r="F152" s="54">
        <f t="shared" si="2"/>
        <v>0.001</v>
      </c>
    </row>
    <row r="153">
      <c r="A153" s="42"/>
      <c r="B153" s="55">
        <v>44012.0</v>
      </c>
      <c r="C153" s="72">
        <v>520042.0</v>
      </c>
      <c r="D153" s="64">
        <f t="shared" si="1"/>
        <v>338027.3</v>
      </c>
      <c r="E153" s="73">
        <v>363713.165140406</v>
      </c>
      <c r="F153" s="54">
        <f t="shared" si="2"/>
        <v>-0.071</v>
      </c>
    </row>
    <row r="154">
      <c r="A154" s="42"/>
      <c r="B154" s="55">
        <v>44104.0</v>
      </c>
      <c r="C154" s="72">
        <v>538003.0</v>
      </c>
      <c r="D154" s="64">
        <f t="shared" si="1"/>
        <v>349701.95</v>
      </c>
      <c r="E154" s="73">
        <v>365694.308538058</v>
      </c>
      <c r="F154" s="54">
        <f t="shared" si="2"/>
        <v>-0.044</v>
      </c>
    </row>
    <row r="155">
      <c r="A155" s="42"/>
      <c r="B155" s="53">
        <v>44196.0</v>
      </c>
      <c r="C155" s="72">
        <v>556829.0</v>
      </c>
      <c r="D155" s="64">
        <f t="shared" si="1"/>
        <v>361938.85</v>
      </c>
      <c r="E155" s="73">
        <v>367764.622988301</v>
      </c>
      <c r="F155" s="54">
        <f t="shared" si="2"/>
        <v>-0.016</v>
      </c>
    </row>
    <row r="156">
      <c r="A156" s="42"/>
      <c r="B156" s="55">
        <v>44286.0</v>
      </c>
      <c r="C156" s="72">
        <v>568929.0</v>
      </c>
      <c r="D156" s="64">
        <f t="shared" si="1"/>
        <v>369803.85</v>
      </c>
      <c r="E156" s="73">
        <v>369916.791381277</v>
      </c>
      <c r="F156" s="54">
        <f t="shared" si="2"/>
        <v>0</v>
      </c>
    </row>
    <row r="157">
      <c r="A157" s="42"/>
      <c r="B157" s="55">
        <v>44377.0</v>
      </c>
      <c r="C157" s="72">
        <v>573933.0</v>
      </c>
      <c r="D157" s="64">
        <f t="shared" si="1"/>
        <v>373056.45</v>
      </c>
      <c r="E157" s="73">
        <v>372139.855499011</v>
      </c>
      <c r="F157" s="54">
        <f t="shared" si="2"/>
        <v>0.002</v>
      </c>
    </row>
    <row r="158">
      <c r="A158" s="42"/>
      <c r="B158" s="55">
        <v>44469.0</v>
      </c>
      <c r="C158" s="72">
        <v>563683.0</v>
      </c>
      <c r="D158" s="64">
        <f t="shared" si="1"/>
        <v>366393.95</v>
      </c>
      <c r="E158" s="73">
        <v>374422.786535164</v>
      </c>
      <c r="F158" s="54">
        <f t="shared" si="2"/>
        <v>-0.021</v>
      </c>
    </row>
    <row r="159">
      <c r="A159" s="42"/>
      <c r="B159" s="53">
        <v>44561.0</v>
      </c>
      <c r="C159" s="72">
        <v>584559.0</v>
      </c>
      <c r="D159" s="64">
        <f t="shared" si="1"/>
        <v>379963.35</v>
      </c>
      <c r="E159" s="73">
        <v>376755.12855496</v>
      </c>
      <c r="F159" s="54">
        <f t="shared" si="2"/>
        <v>0.009</v>
      </c>
    </row>
    <row r="160">
      <c r="A160" s="42"/>
      <c r="B160" s="55">
        <v>44651.0</v>
      </c>
      <c r="C160" s="72">
        <v>589846.0</v>
      </c>
      <c r="D160" s="64">
        <f t="shared" si="1"/>
        <v>383399.9</v>
      </c>
      <c r="E160" s="73">
        <v>379121.407600789</v>
      </c>
      <c r="F160" s="54">
        <f t="shared" si="2"/>
        <v>0.011</v>
      </c>
    </row>
    <row r="161">
      <c r="A161" s="42"/>
      <c r="B161" s="55">
        <v>44742.0</v>
      </c>
      <c r="C161" s="72">
        <v>595132.0</v>
      </c>
      <c r="D161" s="64">
        <f t="shared" si="1"/>
        <v>386835.8</v>
      </c>
      <c r="E161" s="73">
        <v>381508.154853444</v>
      </c>
      <c r="F161" s="54">
        <f t="shared" si="2"/>
        <v>0.014</v>
      </c>
    </row>
    <row r="162">
      <c r="A162" s="42"/>
      <c r="B162" s="55">
        <v>44834.0</v>
      </c>
      <c r="C162" s="72">
        <v>595920.0</v>
      </c>
      <c r="D162" s="64">
        <f t="shared" si="1"/>
        <v>387348</v>
      </c>
      <c r="E162" s="73">
        <v>383904.575551467</v>
      </c>
      <c r="F162" s="54">
        <f t="shared" si="2"/>
        <v>0.009</v>
      </c>
    </row>
    <row r="163">
      <c r="A163" s="42"/>
      <c r="B163" s="53">
        <v>44926.0</v>
      </c>
      <c r="C163" s="72">
        <v>599904.0</v>
      </c>
      <c r="D163" s="64">
        <f t="shared" si="1"/>
        <v>389937.6</v>
      </c>
      <c r="E163" s="73">
        <v>386303.204711618</v>
      </c>
      <c r="F163" s="54">
        <f t="shared" si="2"/>
        <v>0.009</v>
      </c>
    </row>
    <row r="164">
      <c r="A164" s="42"/>
      <c r="B164" s="55">
        <v>45016.0</v>
      </c>
      <c r="C164" s="72">
        <v>603105.0</v>
      </c>
      <c r="D164" s="64">
        <f t="shared" si="1"/>
        <v>392018.25</v>
      </c>
      <c r="E164" s="73">
        <v>388698.729490934</v>
      </c>
      <c r="F164" s="54">
        <f t="shared" si="2"/>
        <v>0.009</v>
      </c>
    </row>
    <row r="165">
      <c r="A165" s="42"/>
      <c r="B165" s="55">
        <v>45107.0</v>
      </c>
      <c r="C165" s="72">
        <v>606272.0</v>
      </c>
      <c r="D165" s="64">
        <f t="shared" si="1"/>
        <v>394076.8</v>
      </c>
      <c r="E165" s="73">
        <v>391088.108543512</v>
      </c>
      <c r="F165" s="54">
        <f t="shared" si="2"/>
        <v>0.008</v>
      </c>
    </row>
    <row r="166">
      <c r="A166" s="42"/>
      <c r="B166" s="55">
        <v>45199.0</v>
      </c>
      <c r="C166" s="72">
        <v>608353.0</v>
      </c>
      <c r="D166" s="64">
        <f t="shared" si="1"/>
        <v>395429.45</v>
      </c>
      <c r="E166" s="73">
        <v>393470.375223763</v>
      </c>
      <c r="F166" s="54">
        <f t="shared" si="2"/>
        <v>0.005</v>
      </c>
    </row>
    <row r="167">
      <c r="A167" s="42"/>
      <c r="B167" s="53">
        <v>45291.0</v>
      </c>
      <c r="C167" s="72">
        <v>609708.0</v>
      </c>
      <c r="D167" s="64">
        <f t="shared" si="1"/>
        <v>396310.2</v>
      </c>
      <c r="E167" s="73">
        <v>395846.43081826</v>
      </c>
      <c r="F167" s="54">
        <f t="shared" si="2"/>
        <v>0.001</v>
      </c>
    </row>
    <row r="168">
      <c r="A168" s="42"/>
      <c r="B168" s="55">
        <v>45382.0</v>
      </c>
      <c r="C168" s="72">
        <v>610808.0</v>
      </c>
      <c r="D168" s="64">
        <f t="shared" si="1"/>
        <v>397025.2</v>
      </c>
      <c r="E168" s="73">
        <v>398218.401035311</v>
      </c>
      <c r="F168" s="54">
        <f t="shared" si="2"/>
        <v>-0.003</v>
      </c>
    </row>
    <row r="169">
      <c r="A169" s="42"/>
      <c r="B169" s="55">
        <v>45473.0</v>
      </c>
      <c r="C169" s="72">
        <v>612180.0</v>
      </c>
      <c r="D169" s="64">
        <f t="shared" si="1"/>
        <v>397917</v>
      </c>
      <c r="E169" s="73">
        <v>400588.701438963</v>
      </c>
      <c r="F169" s="54">
        <f t="shared" si="2"/>
        <v>-0.007</v>
      </c>
    </row>
    <row r="170">
      <c r="A170" s="42"/>
      <c r="B170" s="42"/>
      <c r="C170" s="42"/>
      <c r="D170" s="42"/>
      <c r="E170" s="42"/>
      <c r="F170" s="42"/>
    </row>
    <row r="171">
      <c r="A171" s="42"/>
      <c r="B171" s="42"/>
      <c r="C171" s="42"/>
      <c r="D171" s="42"/>
      <c r="E171" s="42"/>
      <c r="F171" s="42"/>
      <c r="H171" s="75"/>
    </row>
    <row r="172">
      <c r="A172" s="42"/>
      <c r="B172" s="42"/>
      <c r="C172" s="42"/>
      <c r="D172" s="42"/>
      <c r="E172" s="42"/>
      <c r="F172" s="42"/>
      <c r="H172" s="74"/>
    </row>
    <row r="173">
      <c r="A173" s="42"/>
      <c r="B173" s="42"/>
      <c r="C173" s="42"/>
      <c r="D173" s="42"/>
      <c r="E173" s="42"/>
      <c r="F173" s="42"/>
    </row>
    <row r="174">
      <c r="A174" s="42"/>
      <c r="B174" s="42"/>
      <c r="C174" s="42"/>
      <c r="D174" s="42"/>
      <c r="E174" s="42"/>
      <c r="F174" s="42"/>
    </row>
    <row r="175">
      <c r="A175" s="42"/>
      <c r="B175" s="42"/>
      <c r="C175" s="42"/>
      <c r="D175" s="42"/>
      <c r="E175" s="42"/>
      <c r="F175" s="42"/>
    </row>
    <row r="176">
      <c r="A176" s="42"/>
      <c r="B176" s="42"/>
      <c r="C176" s="42"/>
      <c r="D176" s="42"/>
      <c r="E176" s="42"/>
      <c r="F176" s="42"/>
    </row>
    <row r="177">
      <c r="A177" s="42"/>
      <c r="B177" s="42"/>
      <c r="C177" s="42"/>
      <c r="D177" s="42"/>
      <c r="E177" s="42"/>
      <c r="F177" s="42"/>
    </row>
    <row r="178">
      <c r="A178" s="42"/>
      <c r="B178" s="42"/>
      <c r="C178" s="42"/>
      <c r="D178" s="42"/>
      <c r="E178" s="42"/>
      <c r="F178" s="42"/>
    </row>
    <row r="179">
      <c r="A179" s="42"/>
      <c r="B179" s="42"/>
      <c r="C179" s="42"/>
      <c r="D179" s="42"/>
      <c r="E179" s="42"/>
      <c r="F179" s="42"/>
    </row>
    <row r="180">
      <c r="A180" s="42"/>
      <c r="B180" s="42"/>
      <c r="C180" s="42"/>
      <c r="D180" s="42"/>
      <c r="E180" s="42"/>
      <c r="F180" s="42"/>
    </row>
    <row r="181">
      <c r="A181" s="42"/>
      <c r="B181" s="42"/>
      <c r="C181" s="42"/>
      <c r="D181" s="42"/>
      <c r="E181" s="42"/>
      <c r="F181" s="42"/>
    </row>
    <row r="182">
      <c r="A182" s="42"/>
      <c r="B182" s="42"/>
      <c r="C182" s="42"/>
      <c r="D182" s="42"/>
      <c r="E182" s="42"/>
      <c r="F182" s="42"/>
    </row>
    <row r="183">
      <c r="A183" s="42"/>
      <c r="B183" s="42"/>
      <c r="C183" s="42"/>
      <c r="D183" s="42"/>
      <c r="E183" s="42"/>
      <c r="F183" s="42"/>
    </row>
    <row r="184">
      <c r="A184" s="42"/>
      <c r="B184" s="42"/>
      <c r="C184" s="42"/>
      <c r="D184" s="42"/>
      <c r="E184" s="42"/>
      <c r="F184" s="42"/>
    </row>
    <row r="185">
      <c r="A185" s="42"/>
      <c r="B185" s="42"/>
      <c r="C185" s="42"/>
      <c r="D185" s="42"/>
      <c r="E185" s="42"/>
      <c r="F185" s="42"/>
    </row>
    <row r="186">
      <c r="A186" s="42"/>
      <c r="B186" s="42"/>
      <c r="C186" s="42"/>
      <c r="D186" s="42"/>
      <c r="E186" s="42"/>
      <c r="F186" s="42"/>
    </row>
    <row r="187">
      <c r="A187" s="42"/>
      <c r="B187" s="42"/>
      <c r="C187" s="42"/>
      <c r="D187" s="42"/>
      <c r="E187" s="42"/>
      <c r="F187" s="42"/>
    </row>
    <row r="188">
      <c r="A188" s="42"/>
      <c r="B188" s="42"/>
      <c r="C188" s="42"/>
      <c r="D188" s="42"/>
      <c r="E188" s="42"/>
      <c r="F188" s="42"/>
    </row>
    <row r="189">
      <c r="A189" s="42"/>
      <c r="B189" s="42"/>
      <c r="C189" s="42"/>
      <c r="D189" s="42"/>
      <c r="E189" s="42"/>
      <c r="F189" s="42"/>
    </row>
    <row r="190">
      <c r="A190" s="42"/>
      <c r="B190" s="42"/>
      <c r="C190" s="42"/>
      <c r="D190" s="42"/>
      <c r="E190" s="42"/>
      <c r="F190" s="42"/>
    </row>
    <row r="191">
      <c r="A191" s="42"/>
      <c r="B191" s="42"/>
      <c r="C191" s="42"/>
      <c r="D191" s="42"/>
      <c r="E191" s="42"/>
      <c r="F191" s="42"/>
    </row>
    <row r="192">
      <c r="A192" s="42"/>
      <c r="B192" s="42"/>
      <c r="C192" s="42"/>
      <c r="D192" s="42"/>
      <c r="E192" s="42"/>
      <c r="F192" s="42"/>
    </row>
    <row r="193">
      <c r="A193" s="42"/>
      <c r="B193" s="42"/>
      <c r="C193" s="42"/>
      <c r="D193" s="42"/>
      <c r="E193" s="42"/>
      <c r="F193" s="42"/>
    </row>
    <row r="194">
      <c r="A194" s="42"/>
      <c r="B194" s="42"/>
      <c r="C194" s="42"/>
      <c r="D194" s="42"/>
      <c r="E194" s="42"/>
      <c r="F194" s="42"/>
    </row>
    <row r="195">
      <c r="A195" s="42"/>
      <c r="B195" s="42"/>
      <c r="C195" s="42"/>
      <c r="D195" s="42"/>
      <c r="E195" s="42"/>
      <c r="F195" s="42"/>
    </row>
    <row r="196">
      <c r="A196" s="42"/>
      <c r="B196" s="42"/>
      <c r="C196" s="42"/>
      <c r="D196" s="42"/>
      <c r="E196" s="42"/>
      <c r="F196" s="42"/>
    </row>
    <row r="197">
      <c r="A197" s="42"/>
      <c r="B197" s="42"/>
      <c r="C197" s="42"/>
      <c r="D197" s="42"/>
      <c r="E197" s="42"/>
      <c r="F197" s="42"/>
    </row>
    <row r="198">
      <c r="A198" s="42"/>
      <c r="B198" s="42"/>
      <c r="C198" s="42"/>
      <c r="D198" s="42"/>
      <c r="E198" s="42"/>
      <c r="F198" s="42"/>
    </row>
    <row r="199">
      <c r="A199" s="42"/>
      <c r="B199" s="42"/>
      <c r="C199" s="42"/>
      <c r="D199" s="42"/>
      <c r="E199" s="42"/>
      <c r="F199" s="42"/>
    </row>
    <row r="200">
      <c r="A200" s="42"/>
      <c r="B200" s="42"/>
      <c r="C200" s="42"/>
      <c r="D200" s="42"/>
      <c r="E200" s="42"/>
      <c r="F200" s="42"/>
    </row>
    <row r="201">
      <c r="A201" s="42"/>
      <c r="B201" s="42"/>
      <c r="C201" s="42"/>
      <c r="D201" s="42"/>
      <c r="E201" s="42"/>
      <c r="F201" s="42"/>
    </row>
    <row r="202">
      <c r="A202" s="42"/>
      <c r="B202" s="42"/>
      <c r="C202" s="42"/>
      <c r="D202" s="42"/>
      <c r="E202" s="42"/>
      <c r="F202" s="42"/>
    </row>
    <row r="203">
      <c r="A203" s="42"/>
      <c r="B203" s="42"/>
      <c r="C203" s="42"/>
      <c r="D203" s="42"/>
      <c r="E203" s="42"/>
      <c r="F203" s="42"/>
    </row>
    <row r="204">
      <c r="A204" s="42"/>
      <c r="B204" s="42"/>
      <c r="C204" s="42"/>
      <c r="D204" s="42"/>
      <c r="E204" s="42"/>
      <c r="F204" s="42"/>
    </row>
    <row r="205">
      <c r="A205" s="42"/>
      <c r="B205" s="42"/>
      <c r="C205" s="42"/>
      <c r="D205" s="42"/>
      <c r="E205" s="42"/>
      <c r="F205" s="42"/>
    </row>
    <row r="206">
      <c r="A206" s="42"/>
      <c r="B206" s="42"/>
      <c r="C206" s="42"/>
      <c r="D206" s="42"/>
      <c r="E206" s="42"/>
      <c r="F206" s="42"/>
    </row>
    <row r="207">
      <c r="C207" s="45"/>
    </row>
    <row r="208">
      <c r="C208" s="45"/>
    </row>
    <row r="209">
      <c r="C209" s="45"/>
    </row>
    <row r="210">
      <c r="C210" s="45"/>
    </row>
    <row r="211">
      <c r="C211" s="45"/>
    </row>
    <row r="212">
      <c r="C212" s="45"/>
    </row>
    <row r="213">
      <c r="C213" s="45"/>
    </row>
    <row r="214">
      <c r="C214" s="45"/>
    </row>
    <row r="215">
      <c r="C215" s="45"/>
    </row>
    <row r="216">
      <c r="C216" s="45"/>
    </row>
    <row r="217">
      <c r="C217" s="45"/>
    </row>
    <row r="218">
      <c r="C218" s="45"/>
    </row>
    <row r="219">
      <c r="C219" s="45"/>
    </row>
    <row r="220">
      <c r="C220" s="45"/>
    </row>
    <row r="221">
      <c r="C221" s="45"/>
    </row>
    <row r="222">
      <c r="C222" s="45"/>
    </row>
    <row r="223">
      <c r="C223" s="45"/>
    </row>
    <row r="224">
      <c r="C224" s="45"/>
    </row>
    <row r="225">
      <c r="C225" s="45"/>
    </row>
    <row r="226">
      <c r="C226" s="45"/>
    </row>
    <row r="227">
      <c r="C227" s="45"/>
    </row>
    <row r="228">
      <c r="C228" s="45"/>
    </row>
    <row r="229">
      <c r="C229" s="45"/>
    </row>
    <row r="230">
      <c r="C230" s="45"/>
    </row>
    <row r="231">
      <c r="C231" s="45"/>
    </row>
    <row r="232">
      <c r="C232" s="45"/>
    </row>
    <row r="233">
      <c r="C233" s="45"/>
    </row>
    <row r="234">
      <c r="C234" s="45"/>
    </row>
    <row r="235">
      <c r="C235" s="45"/>
    </row>
    <row r="236">
      <c r="C236" s="45"/>
    </row>
    <row r="237">
      <c r="C237" s="45"/>
    </row>
    <row r="238">
      <c r="C238" s="45"/>
    </row>
    <row r="239">
      <c r="C239" s="45"/>
    </row>
    <row r="240">
      <c r="C240" s="45"/>
    </row>
    <row r="241">
      <c r="C241" s="45"/>
    </row>
    <row r="242">
      <c r="C242" s="45"/>
    </row>
    <row r="243">
      <c r="C243" s="45"/>
    </row>
    <row r="244">
      <c r="C244" s="45"/>
    </row>
    <row r="245">
      <c r="C245" s="45"/>
    </row>
    <row r="246">
      <c r="C246" s="45"/>
    </row>
    <row r="247">
      <c r="C247" s="45"/>
    </row>
    <row r="248">
      <c r="C248" s="45"/>
    </row>
    <row r="249">
      <c r="C249" s="45"/>
    </row>
    <row r="250">
      <c r="C250" s="45"/>
    </row>
    <row r="251">
      <c r="C251" s="45"/>
    </row>
    <row r="252">
      <c r="C252" s="45"/>
    </row>
    <row r="253">
      <c r="C253" s="45"/>
    </row>
    <row r="254">
      <c r="C254" s="45"/>
    </row>
    <row r="255">
      <c r="C255" s="45"/>
    </row>
    <row r="256">
      <c r="C256" s="45"/>
    </row>
    <row r="257">
      <c r="C257" s="45"/>
    </row>
    <row r="258">
      <c r="C258" s="45"/>
    </row>
    <row r="259">
      <c r="C259" s="45"/>
    </row>
    <row r="260">
      <c r="C260" s="45"/>
    </row>
    <row r="261">
      <c r="C261" s="45"/>
    </row>
    <row r="262">
      <c r="C262" s="45"/>
    </row>
    <row r="263">
      <c r="C263" s="45"/>
    </row>
    <row r="264">
      <c r="C264" s="45"/>
    </row>
    <row r="265">
      <c r="C265" s="45"/>
    </row>
    <row r="266">
      <c r="C266" s="45"/>
    </row>
    <row r="267">
      <c r="C267" s="45"/>
    </row>
    <row r="268">
      <c r="C268" s="45"/>
      <c r="D268" s="45"/>
      <c r="E268" s="76"/>
    </row>
    <row r="269">
      <c r="C269" s="45"/>
      <c r="D269" s="45"/>
      <c r="E269" s="76"/>
    </row>
    <row r="270">
      <c r="C270" s="45"/>
      <c r="D270" s="45"/>
      <c r="E270" s="76"/>
    </row>
    <row r="271">
      <c r="C271" s="45"/>
      <c r="D271" s="45"/>
      <c r="E271" s="76"/>
    </row>
    <row r="272">
      <c r="C272" s="45"/>
      <c r="D272" s="45"/>
      <c r="E272" s="76"/>
    </row>
    <row r="273">
      <c r="C273" s="45"/>
      <c r="D273" s="45"/>
      <c r="E273" s="76"/>
    </row>
    <row r="274">
      <c r="C274" s="45"/>
      <c r="D274" s="45"/>
      <c r="E274" s="76"/>
    </row>
    <row r="275">
      <c r="C275" s="45"/>
      <c r="D275" s="45"/>
      <c r="E275" s="76"/>
    </row>
    <row r="276">
      <c r="C276" s="45"/>
      <c r="D276" s="45"/>
      <c r="E276" s="76"/>
    </row>
    <row r="277">
      <c r="C277" s="45"/>
      <c r="D277" s="45"/>
      <c r="E277" s="76"/>
    </row>
    <row r="278">
      <c r="C278" s="45"/>
      <c r="D278" s="45"/>
      <c r="E278" s="76"/>
    </row>
    <row r="279">
      <c r="C279" s="45"/>
      <c r="D279" s="45"/>
      <c r="E279" s="76"/>
    </row>
    <row r="280">
      <c r="C280" s="45"/>
      <c r="D280" s="45"/>
      <c r="E280" s="76"/>
    </row>
    <row r="281">
      <c r="C281" s="45"/>
      <c r="D281" s="45"/>
      <c r="E281" s="76"/>
    </row>
    <row r="282">
      <c r="C282" s="45"/>
      <c r="D282" s="45"/>
      <c r="E282" s="76"/>
    </row>
    <row r="283">
      <c r="C283" s="45"/>
      <c r="D283" s="45"/>
      <c r="E283" s="76"/>
    </row>
    <row r="284">
      <c r="C284" s="45"/>
      <c r="D284" s="45"/>
      <c r="E284" s="76"/>
    </row>
    <row r="285">
      <c r="C285" s="45"/>
      <c r="D285" s="45"/>
      <c r="E285" s="76"/>
    </row>
    <row r="286">
      <c r="C286" s="45"/>
      <c r="D286" s="45"/>
      <c r="E286" s="76"/>
    </row>
    <row r="287">
      <c r="C287" s="45"/>
      <c r="D287" s="45"/>
      <c r="E287" s="76"/>
    </row>
    <row r="288">
      <c r="C288" s="45"/>
      <c r="D288" s="45"/>
      <c r="E288" s="76"/>
    </row>
    <row r="289">
      <c r="C289" s="45"/>
      <c r="D289" s="45"/>
      <c r="E289" s="76"/>
    </row>
    <row r="290">
      <c r="C290" s="45"/>
      <c r="D290" s="45"/>
      <c r="E290" s="76"/>
    </row>
    <row r="291">
      <c r="C291" s="45"/>
      <c r="D291" s="45"/>
      <c r="E291" s="76"/>
    </row>
    <row r="292">
      <c r="C292" s="45"/>
      <c r="D292" s="45"/>
      <c r="E292" s="76"/>
    </row>
    <row r="293">
      <c r="C293" s="45"/>
      <c r="D293" s="45"/>
      <c r="E293" s="76"/>
    </row>
    <row r="294">
      <c r="C294" s="45"/>
      <c r="D294" s="45"/>
      <c r="E294" s="76"/>
    </row>
    <row r="295">
      <c r="C295" s="45"/>
      <c r="D295" s="45"/>
      <c r="E295" s="76"/>
    </row>
    <row r="296">
      <c r="C296" s="45"/>
      <c r="D296" s="45"/>
      <c r="E296" s="76"/>
    </row>
    <row r="297">
      <c r="C297" s="45"/>
      <c r="D297" s="45"/>
      <c r="E297" s="76"/>
    </row>
    <row r="298">
      <c r="C298" s="45"/>
      <c r="D298" s="45"/>
      <c r="E298" s="76"/>
    </row>
    <row r="299">
      <c r="C299" s="45"/>
      <c r="D299" s="45"/>
      <c r="E299" s="76"/>
    </row>
    <row r="300">
      <c r="C300" s="45"/>
      <c r="D300" s="45"/>
      <c r="E300" s="76"/>
    </row>
    <row r="301">
      <c r="C301" s="45"/>
      <c r="D301" s="45"/>
      <c r="E301" s="76"/>
    </row>
    <row r="302">
      <c r="C302" s="45"/>
      <c r="D302" s="45"/>
      <c r="E302" s="76"/>
    </row>
    <row r="303">
      <c r="C303" s="45"/>
      <c r="D303" s="45"/>
      <c r="E303" s="76"/>
    </row>
    <row r="304">
      <c r="C304" s="45"/>
      <c r="D304" s="45"/>
      <c r="E304" s="76"/>
    </row>
    <row r="305">
      <c r="C305" s="45"/>
      <c r="D305" s="45"/>
      <c r="E305" s="76"/>
    </row>
    <row r="306">
      <c r="C306" s="45"/>
      <c r="D306" s="45"/>
      <c r="E306" s="76"/>
    </row>
    <row r="307">
      <c r="C307" s="45"/>
      <c r="D307" s="45"/>
      <c r="E307" s="76"/>
    </row>
    <row r="308">
      <c r="C308" s="45"/>
      <c r="D308" s="45"/>
      <c r="E308" s="76"/>
    </row>
    <row r="309">
      <c r="C309" s="45"/>
      <c r="D309" s="45"/>
      <c r="E309" s="76"/>
    </row>
    <row r="310">
      <c r="C310" s="45"/>
      <c r="D310" s="45"/>
      <c r="E310" s="76"/>
    </row>
    <row r="311">
      <c r="C311" s="45"/>
      <c r="D311" s="45"/>
      <c r="E311" s="76"/>
    </row>
    <row r="312">
      <c r="C312" s="45"/>
      <c r="D312" s="45"/>
      <c r="E312" s="76"/>
    </row>
    <row r="313">
      <c r="C313" s="45"/>
      <c r="D313" s="45"/>
      <c r="E313" s="76"/>
    </row>
    <row r="314">
      <c r="C314" s="45"/>
      <c r="D314" s="45"/>
      <c r="E314" s="76"/>
    </row>
    <row r="315">
      <c r="C315" s="45"/>
      <c r="D315" s="45"/>
      <c r="E315" s="76"/>
    </row>
    <row r="316">
      <c r="C316" s="45"/>
      <c r="D316" s="45"/>
      <c r="E316" s="76"/>
    </row>
    <row r="317">
      <c r="C317" s="45"/>
      <c r="D317" s="45"/>
      <c r="E317" s="76"/>
    </row>
    <row r="318">
      <c r="C318" s="45"/>
      <c r="D318" s="45"/>
      <c r="E318" s="76"/>
    </row>
    <row r="319">
      <c r="C319" s="45"/>
      <c r="D319" s="45"/>
      <c r="E319" s="76"/>
    </row>
    <row r="320">
      <c r="C320" s="45"/>
      <c r="D320" s="45"/>
      <c r="E320" s="76"/>
    </row>
    <row r="321">
      <c r="C321" s="45"/>
      <c r="D321" s="45"/>
      <c r="E321" s="76"/>
    </row>
    <row r="322">
      <c r="C322" s="45"/>
      <c r="D322" s="45"/>
      <c r="E322" s="76"/>
    </row>
    <row r="323">
      <c r="C323" s="45"/>
      <c r="D323" s="45"/>
      <c r="E323" s="76"/>
    </row>
    <row r="324">
      <c r="C324" s="45"/>
      <c r="D324" s="45"/>
      <c r="E324" s="76"/>
    </row>
    <row r="325">
      <c r="C325" s="45"/>
      <c r="D325" s="45"/>
      <c r="E325" s="76"/>
    </row>
    <row r="326">
      <c r="C326" s="45"/>
      <c r="D326" s="45"/>
      <c r="E326" s="76"/>
    </row>
    <row r="327">
      <c r="C327" s="45"/>
      <c r="D327" s="45"/>
      <c r="E327" s="76"/>
    </row>
    <row r="328">
      <c r="C328" s="45"/>
      <c r="D328" s="45"/>
      <c r="E328" s="76"/>
    </row>
    <row r="329">
      <c r="C329" s="45"/>
      <c r="D329" s="45"/>
      <c r="E329" s="76"/>
    </row>
    <row r="330">
      <c r="C330" s="45"/>
      <c r="D330" s="45"/>
      <c r="E330" s="76"/>
    </row>
    <row r="331">
      <c r="C331" s="45"/>
      <c r="D331" s="45"/>
      <c r="E331" s="76"/>
    </row>
    <row r="332">
      <c r="C332" s="45"/>
      <c r="D332" s="45"/>
      <c r="E332" s="76"/>
    </row>
    <row r="333">
      <c r="C333" s="45"/>
      <c r="D333" s="45"/>
      <c r="E333" s="76"/>
    </row>
    <row r="334">
      <c r="C334" s="45"/>
      <c r="D334" s="45"/>
      <c r="E334" s="76"/>
    </row>
    <row r="335">
      <c r="C335" s="45"/>
      <c r="D335" s="45"/>
      <c r="E335" s="76"/>
    </row>
    <row r="336">
      <c r="C336" s="45"/>
      <c r="D336" s="45"/>
      <c r="E336" s="76"/>
    </row>
    <row r="337">
      <c r="C337" s="45"/>
      <c r="D337" s="45"/>
      <c r="E337" s="76"/>
    </row>
    <row r="338">
      <c r="C338" s="45"/>
      <c r="D338" s="45"/>
      <c r="E338" s="76"/>
    </row>
    <row r="339">
      <c r="C339" s="45"/>
      <c r="D339" s="45"/>
      <c r="E339" s="76"/>
    </row>
    <row r="340">
      <c r="C340" s="45"/>
      <c r="D340" s="45"/>
      <c r="E340" s="76"/>
    </row>
    <row r="341">
      <c r="C341" s="45"/>
      <c r="D341" s="45"/>
      <c r="E341" s="76"/>
    </row>
    <row r="342">
      <c r="C342" s="45"/>
      <c r="D342" s="45"/>
      <c r="E342" s="76"/>
    </row>
    <row r="343">
      <c r="C343" s="45"/>
      <c r="D343" s="45"/>
      <c r="E343" s="76"/>
    </row>
    <row r="344">
      <c r="C344" s="45"/>
      <c r="D344" s="45"/>
      <c r="E344" s="76"/>
    </row>
    <row r="345">
      <c r="C345" s="45"/>
      <c r="D345" s="45"/>
      <c r="E345" s="76"/>
    </row>
    <row r="346">
      <c r="C346" s="45"/>
      <c r="D346" s="45"/>
      <c r="E346" s="76"/>
    </row>
    <row r="347">
      <c r="C347" s="45"/>
      <c r="D347" s="45"/>
      <c r="E347" s="76"/>
    </row>
    <row r="348">
      <c r="C348" s="45"/>
      <c r="D348" s="45"/>
      <c r="E348" s="76"/>
    </row>
    <row r="349">
      <c r="C349" s="45"/>
      <c r="D349" s="45"/>
      <c r="E349" s="76"/>
    </row>
    <row r="350">
      <c r="C350" s="45"/>
      <c r="D350" s="45"/>
      <c r="E350" s="76"/>
    </row>
    <row r="351">
      <c r="C351" s="45"/>
      <c r="D351" s="45"/>
      <c r="E351" s="76"/>
    </row>
    <row r="352">
      <c r="C352" s="45"/>
      <c r="D352" s="45"/>
      <c r="E352" s="76"/>
    </row>
    <row r="353">
      <c r="C353" s="45"/>
      <c r="D353" s="45"/>
      <c r="E353" s="76"/>
    </row>
    <row r="354">
      <c r="C354" s="45"/>
      <c r="D354" s="45"/>
      <c r="E354" s="76"/>
    </row>
    <row r="355">
      <c r="C355" s="45"/>
      <c r="D355" s="45"/>
      <c r="E355" s="76"/>
    </row>
    <row r="356">
      <c r="C356" s="45"/>
      <c r="D356" s="45"/>
      <c r="E356" s="76"/>
    </row>
    <row r="357">
      <c r="C357" s="45"/>
      <c r="D357" s="45"/>
      <c r="E357" s="76"/>
    </row>
    <row r="358">
      <c r="C358" s="45"/>
      <c r="D358" s="45"/>
      <c r="E358" s="76"/>
    </row>
    <row r="359">
      <c r="C359" s="45"/>
      <c r="D359" s="45"/>
      <c r="E359" s="76"/>
    </row>
    <row r="360">
      <c r="C360" s="45"/>
      <c r="D360" s="45"/>
      <c r="E360" s="76"/>
    </row>
    <row r="361">
      <c r="C361" s="45"/>
      <c r="D361" s="45"/>
      <c r="E361" s="76"/>
    </row>
    <row r="362">
      <c r="C362" s="45"/>
      <c r="D362" s="45"/>
      <c r="E362" s="76"/>
    </row>
    <row r="363">
      <c r="C363" s="45"/>
      <c r="D363" s="45"/>
      <c r="E363" s="76"/>
    </row>
    <row r="364">
      <c r="C364" s="45"/>
      <c r="D364" s="45"/>
      <c r="E364" s="76"/>
    </row>
    <row r="365">
      <c r="C365" s="45"/>
      <c r="D365" s="45"/>
      <c r="E365" s="76"/>
    </row>
    <row r="366">
      <c r="C366" s="45"/>
      <c r="D366" s="45"/>
      <c r="E366" s="76"/>
    </row>
    <row r="367">
      <c r="C367" s="45"/>
      <c r="D367" s="45"/>
      <c r="E367" s="76"/>
    </row>
    <row r="368">
      <c r="C368" s="45"/>
      <c r="D368" s="45"/>
      <c r="E368" s="76"/>
    </row>
    <row r="369">
      <c r="C369" s="45"/>
      <c r="D369" s="45"/>
      <c r="E369" s="76"/>
    </row>
    <row r="370">
      <c r="C370" s="45"/>
      <c r="D370" s="45"/>
      <c r="E370" s="76"/>
    </row>
    <row r="371">
      <c r="C371" s="45"/>
      <c r="D371" s="45"/>
      <c r="E371" s="76"/>
    </row>
    <row r="372">
      <c r="C372" s="45"/>
      <c r="D372" s="45"/>
      <c r="E372" s="76"/>
    </row>
    <row r="373">
      <c r="C373" s="45"/>
      <c r="D373" s="45"/>
      <c r="E373" s="76"/>
    </row>
    <row r="374">
      <c r="C374" s="45"/>
      <c r="D374" s="45"/>
      <c r="E374" s="76"/>
    </row>
    <row r="375">
      <c r="C375" s="45"/>
      <c r="D375" s="45"/>
      <c r="E375" s="76"/>
    </row>
    <row r="376">
      <c r="C376" s="45"/>
      <c r="D376" s="45"/>
      <c r="E376" s="76"/>
    </row>
    <row r="377">
      <c r="C377" s="45"/>
      <c r="D377" s="45"/>
      <c r="E377" s="76"/>
    </row>
    <row r="378">
      <c r="C378" s="45"/>
      <c r="D378" s="45"/>
      <c r="E378" s="76"/>
    </row>
    <row r="379">
      <c r="C379" s="45"/>
      <c r="D379" s="45"/>
      <c r="E379" s="76"/>
    </row>
    <row r="380">
      <c r="C380" s="45"/>
      <c r="D380" s="45"/>
      <c r="E380" s="76"/>
    </row>
    <row r="381">
      <c r="C381" s="45"/>
      <c r="D381" s="45"/>
      <c r="E381" s="76"/>
    </row>
    <row r="382">
      <c r="C382" s="45"/>
      <c r="D382" s="45"/>
      <c r="E382" s="76"/>
    </row>
    <row r="383">
      <c r="C383" s="45"/>
      <c r="D383" s="45"/>
      <c r="E383" s="76"/>
    </row>
    <row r="384">
      <c r="C384" s="45"/>
      <c r="D384" s="45"/>
      <c r="E384" s="76"/>
    </row>
    <row r="385">
      <c r="C385" s="45"/>
      <c r="D385" s="45"/>
      <c r="E385" s="76"/>
    </row>
    <row r="386">
      <c r="C386" s="45"/>
      <c r="D386" s="45"/>
      <c r="E386" s="76"/>
    </row>
    <row r="387">
      <c r="C387" s="45"/>
      <c r="D387" s="45"/>
      <c r="E387" s="76"/>
    </row>
    <row r="388">
      <c r="C388" s="45"/>
      <c r="D388" s="45"/>
      <c r="E388" s="76"/>
    </row>
    <row r="389">
      <c r="C389" s="45"/>
      <c r="D389" s="45"/>
      <c r="E389" s="76"/>
    </row>
    <row r="390">
      <c r="C390" s="45"/>
      <c r="D390" s="45"/>
      <c r="E390" s="76"/>
    </row>
    <row r="391">
      <c r="C391" s="45"/>
      <c r="D391" s="45"/>
      <c r="E391" s="76"/>
    </row>
    <row r="392">
      <c r="C392" s="45"/>
      <c r="D392" s="45"/>
      <c r="E392" s="76"/>
    </row>
    <row r="393">
      <c r="C393" s="45"/>
      <c r="D393" s="45"/>
      <c r="E393" s="76"/>
    </row>
    <row r="394">
      <c r="C394" s="45"/>
      <c r="D394" s="45"/>
      <c r="E394" s="76"/>
    </row>
    <row r="395">
      <c r="C395" s="45"/>
      <c r="D395" s="45"/>
      <c r="E395" s="76"/>
    </row>
    <row r="396">
      <c r="C396" s="45"/>
      <c r="D396" s="45"/>
      <c r="E396" s="76"/>
    </row>
    <row r="397">
      <c r="C397" s="45"/>
      <c r="D397" s="45"/>
      <c r="E397" s="76"/>
    </row>
    <row r="398">
      <c r="C398" s="45"/>
      <c r="D398" s="45"/>
      <c r="E398" s="76"/>
    </row>
    <row r="399">
      <c r="C399" s="45"/>
      <c r="D399" s="45"/>
      <c r="E399" s="76"/>
    </row>
    <row r="400">
      <c r="C400" s="45"/>
      <c r="D400" s="45"/>
      <c r="E400" s="76"/>
    </row>
    <row r="401">
      <c r="C401" s="45"/>
      <c r="D401" s="45"/>
      <c r="E401" s="76"/>
    </row>
    <row r="402">
      <c r="C402" s="45"/>
      <c r="D402" s="45"/>
      <c r="E402" s="76"/>
    </row>
    <row r="403">
      <c r="C403" s="45"/>
      <c r="D403" s="45"/>
      <c r="E403" s="76"/>
    </row>
    <row r="404">
      <c r="C404" s="45"/>
      <c r="D404" s="45"/>
      <c r="E404" s="76"/>
    </row>
    <row r="405">
      <c r="C405" s="45"/>
      <c r="D405" s="45"/>
      <c r="E405" s="76"/>
    </row>
    <row r="406">
      <c r="C406" s="45"/>
      <c r="D406" s="45"/>
      <c r="E406" s="76"/>
    </row>
    <row r="407">
      <c r="C407" s="45"/>
      <c r="D407" s="45"/>
      <c r="E407" s="76"/>
    </row>
    <row r="408">
      <c r="C408" s="45"/>
      <c r="D408" s="45"/>
      <c r="E408" s="76"/>
    </row>
    <row r="409">
      <c r="C409" s="45"/>
      <c r="D409" s="45"/>
      <c r="E409" s="76"/>
    </row>
    <row r="410">
      <c r="C410" s="45"/>
      <c r="D410" s="45"/>
      <c r="E410" s="76"/>
    </row>
    <row r="411">
      <c r="C411" s="45"/>
      <c r="D411" s="45"/>
      <c r="E411" s="76"/>
    </row>
    <row r="412">
      <c r="C412" s="45"/>
      <c r="D412" s="45"/>
      <c r="E412" s="76"/>
    </row>
    <row r="413">
      <c r="C413" s="45"/>
      <c r="D413" s="45"/>
      <c r="E413" s="76"/>
    </row>
    <row r="414">
      <c r="C414" s="45"/>
      <c r="D414" s="45"/>
      <c r="E414" s="76"/>
    </row>
    <row r="415">
      <c r="C415" s="45"/>
      <c r="D415" s="45"/>
      <c r="E415" s="76"/>
    </row>
    <row r="416">
      <c r="C416" s="45"/>
      <c r="D416" s="45"/>
      <c r="E416" s="76"/>
    </row>
    <row r="417">
      <c r="C417" s="45"/>
      <c r="D417" s="45"/>
      <c r="E417" s="76"/>
    </row>
    <row r="418">
      <c r="C418" s="45"/>
      <c r="D418" s="45"/>
      <c r="E418" s="76"/>
    </row>
    <row r="419">
      <c r="C419" s="45"/>
      <c r="D419" s="45"/>
      <c r="E419" s="76"/>
    </row>
    <row r="420">
      <c r="C420" s="45"/>
      <c r="D420" s="45"/>
      <c r="E420" s="76"/>
    </row>
    <row r="421">
      <c r="C421" s="45"/>
      <c r="D421" s="45"/>
      <c r="E421" s="76"/>
    </row>
    <row r="422">
      <c r="C422" s="45"/>
      <c r="D422" s="45"/>
      <c r="E422" s="76"/>
    </row>
    <row r="423">
      <c r="C423" s="45"/>
      <c r="D423" s="45"/>
      <c r="E423" s="76"/>
    </row>
    <row r="424">
      <c r="C424" s="45"/>
      <c r="D424" s="45"/>
      <c r="E424" s="76"/>
    </row>
    <row r="425">
      <c r="C425" s="45"/>
      <c r="D425" s="45"/>
      <c r="E425" s="76"/>
    </row>
    <row r="426">
      <c r="C426" s="45"/>
      <c r="D426" s="45"/>
      <c r="E426" s="76"/>
    </row>
    <row r="427">
      <c r="C427" s="45"/>
      <c r="D427" s="45"/>
      <c r="E427" s="76"/>
    </row>
    <row r="428">
      <c r="C428" s="45"/>
      <c r="D428" s="45"/>
      <c r="E428" s="76"/>
    </row>
    <row r="429">
      <c r="C429" s="45"/>
      <c r="D429" s="45"/>
      <c r="E429" s="76"/>
    </row>
    <row r="430">
      <c r="C430" s="45"/>
      <c r="D430" s="45"/>
      <c r="E430" s="76"/>
    </row>
    <row r="431">
      <c r="C431" s="45"/>
      <c r="D431" s="45"/>
      <c r="E431" s="76"/>
    </row>
    <row r="432">
      <c r="C432" s="45"/>
      <c r="D432" s="45"/>
      <c r="E432" s="76"/>
    </row>
    <row r="433">
      <c r="C433" s="45"/>
      <c r="D433" s="45"/>
      <c r="E433" s="76"/>
    </row>
    <row r="434">
      <c r="C434" s="45"/>
      <c r="D434" s="45"/>
      <c r="E434" s="76"/>
    </row>
    <row r="435">
      <c r="C435" s="45"/>
      <c r="D435" s="45"/>
      <c r="E435" s="76"/>
    </row>
    <row r="436">
      <c r="C436" s="45"/>
      <c r="D436" s="45"/>
      <c r="E436" s="76"/>
    </row>
    <row r="437">
      <c r="C437" s="45"/>
      <c r="D437" s="45"/>
      <c r="E437" s="76"/>
    </row>
    <row r="438">
      <c r="C438" s="45"/>
      <c r="D438" s="45"/>
      <c r="E438" s="76"/>
    </row>
    <row r="439">
      <c r="C439" s="45"/>
      <c r="D439" s="45"/>
      <c r="E439" s="76"/>
    </row>
    <row r="440">
      <c r="C440" s="45"/>
      <c r="D440" s="45"/>
      <c r="E440" s="76"/>
    </row>
    <row r="441">
      <c r="C441" s="45"/>
      <c r="D441" s="45"/>
      <c r="E441" s="76"/>
    </row>
    <row r="442">
      <c r="C442" s="45"/>
      <c r="D442" s="45"/>
      <c r="E442" s="76"/>
    </row>
    <row r="443">
      <c r="C443" s="45"/>
      <c r="D443" s="45"/>
      <c r="E443" s="76"/>
    </row>
    <row r="444">
      <c r="C444" s="45"/>
      <c r="D444" s="45"/>
      <c r="E444" s="76"/>
    </row>
    <row r="445">
      <c r="C445" s="45"/>
      <c r="D445" s="45"/>
      <c r="E445" s="76"/>
    </row>
    <row r="446">
      <c r="C446" s="45"/>
      <c r="D446" s="45"/>
      <c r="E446" s="76"/>
    </row>
    <row r="447">
      <c r="C447" s="45"/>
      <c r="D447" s="45"/>
      <c r="E447" s="76"/>
    </row>
    <row r="448">
      <c r="C448" s="45"/>
      <c r="D448" s="45"/>
      <c r="E448" s="76"/>
    </row>
    <row r="449">
      <c r="C449" s="45"/>
      <c r="D449" s="45"/>
      <c r="E449" s="76"/>
    </row>
    <row r="450">
      <c r="C450" s="45"/>
      <c r="D450" s="45"/>
      <c r="E450" s="76"/>
    </row>
    <row r="451">
      <c r="C451" s="45"/>
      <c r="D451" s="45"/>
      <c r="E451" s="76"/>
    </row>
    <row r="452">
      <c r="C452" s="45"/>
      <c r="D452" s="45"/>
      <c r="E452" s="76"/>
    </row>
    <row r="453">
      <c r="C453" s="45"/>
      <c r="D453" s="45"/>
      <c r="E453" s="76"/>
    </row>
    <row r="454">
      <c r="C454" s="45"/>
      <c r="D454" s="45"/>
      <c r="E454" s="76"/>
    </row>
    <row r="455">
      <c r="C455" s="45"/>
      <c r="D455" s="45"/>
      <c r="E455" s="76"/>
    </row>
    <row r="456">
      <c r="C456" s="45"/>
      <c r="D456" s="45"/>
      <c r="E456" s="76"/>
    </row>
    <row r="457">
      <c r="C457" s="45"/>
      <c r="D457" s="45"/>
      <c r="E457" s="76"/>
    </row>
    <row r="458">
      <c r="C458" s="45"/>
      <c r="D458" s="45"/>
      <c r="E458" s="76"/>
    </row>
    <row r="459">
      <c r="C459" s="45"/>
      <c r="D459" s="45"/>
      <c r="E459" s="76"/>
    </row>
    <row r="460">
      <c r="C460" s="45"/>
      <c r="D460" s="45"/>
      <c r="E460" s="76"/>
    </row>
    <row r="461">
      <c r="C461" s="45"/>
      <c r="D461" s="45"/>
      <c r="E461" s="76"/>
    </row>
    <row r="462">
      <c r="C462" s="45"/>
      <c r="D462" s="45"/>
      <c r="E462" s="76"/>
    </row>
    <row r="463">
      <c r="C463" s="45"/>
      <c r="D463" s="45"/>
      <c r="E463" s="76"/>
    </row>
    <row r="464">
      <c r="C464" s="45"/>
      <c r="D464" s="45"/>
      <c r="E464" s="76"/>
    </row>
    <row r="465">
      <c r="C465" s="45"/>
      <c r="D465" s="45"/>
      <c r="E465" s="76"/>
    </row>
    <row r="466">
      <c r="C466" s="45"/>
      <c r="D466" s="45"/>
      <c r="E466" s="76"/>
    </row>
    <row r="467">
      <c r="C467" s="45"/>
      <c r="D467" s="45"/>
      <c r="E467" s="76"/>
    </row>
    <row r="468">
      <c r="C468" s="45"/>
      <c r="D468" s="45"/>
      <c r="E468" s="76"/>
    </row>
    <row r="469">
      <c r="C469" s="45"/>
      <c r="D469" s="45"/>
      <c r="E469" s="76"/>
    </row>
    <row r="470">
      <c r="C470" s="45"/>
      <c r="D470" s="45"/>
      <c r="E470" s="76"/>
    </row>
    <row r="471">
      <c r="C471" s="45"/>
      <c r="D471" s="45"/>
      <c r="E471" s="76"/>
    </row>
    <row r="472">
      <c r="C472" s="45"/>
      <c r="D472" s="45"/>
      <c r="E472" s="76"/>
    </row>
    <row r="473">
      <c r="C473" s="45"/>
      <c r="D473" s="45"/>
      <c r="E473" s="76"/>
    </row>
    <row r="474">
      <c r="C474" s="45"/>
      <c r="D474" s="45"/>
      <c r="E474" s="76"/>
    </row>
    <row r="475">
      <c r="C475" s="45"/>
      <c r="D475" s="45"/>
      <c r="E475" s="76"/>
    </row>
    <row r="476">
      <c r="C476" s="45"/>
      <c r="D476" s="45"/>
      <c r="E476" s="76"/>
    </row>
    <row r="477">
      <c r="C477" s="45"/>
      <c r="D477" s="45"/>
      <c r="E477" s="76"/>
    </row>
    <row r="478">
      <c r="C478" s="45"/>
      <c r="D478" s="45"/>
      <c r="E478" s="76"/>
    </row>
    <row r="479">
      <c r="C479" s="45"/>
      <c r="D479" s="45"/>
      <c r="E479" s="76"/>
    </row>
    <row r="480">
      <c r="C480" s="45"/>
      <c r="D480" s="45"/>
      <c r="E480" s="76"/>
    </row>
    <row r="481">
      <c r="C481" s="45"/>
      <c r="D481" s="45"/>
      <c r="E481" s="76"/>
    </row>
    <row r="482">
      <c r="C482" s="45"/>
      <c r="D482" s="45"/>
      <c r="E482" s="76"/>
    </row>
    <row r="483">
      <c r="C483" s="45"/>
      <c r="D483" s="45"/>
      <c r="E483" s="76"/>
    </row>
    <row r="484">
      <c r="C484" s="45"/>
      <c r="D484" s="45"/>
      <c r="E484" s="76"/>
    </row>
    <row r="485">
      <c r="C485" s="45"/>
      <c r="D485" s="45"/>
      <c r="E485" s="76"/>
    </row>
    <row r="486">
      <c r="C486" s="45"/>
      <c r="D486" s="45"/>
      <c r="E486" s="76"/>
    </row>
    <row r="487">
      <c r="C487" s="45"/>
      <c r="D487" s="45"/>
      <c r="E487" s="76"/>
    </row>
    <row r="488">
      <c r="C488" s="45"/>
      <c r="D488" s="45"/>
      <c r="E488" s="76"/>
    </row>
    <row r="489">
      <c r="C489" s="45"/>
      <c r="D489" s="45"/>
      <c r="E489" s="76"/>
    </row>
    <row r="490">
      <c r="C490" s="45"/>
      <c r="D490" s="45"/>
      <c r="E490" s="76"/>
    </row>
    <row r="491">
      <c r="C491" s="45"/>
      <c r="D491" s="45"/>
      <c r="E491" s="76"/>
    </row>
    <row r="492">
      <c r="C492" s="45"/>
      <c r="D492" s="45"/>
      <c r="E492" s="76"/>
    </row>
    <row r="493">
      <c r="C493" s="45"/>
      <c r="D493" s="45"/>
      <c r="E493" s="76"/>
    </row>
    <row r="494">
      <c r="C494" s="45"/>
      <c r="D494" s="45"/>
      <c r="E494" s="76"/>
    </row>
    <row r="495">
      <c r="C495" s="45"/>
      <c r="D495" s="45"/>
      <c r="E495" s="76"/>
    </row>
    <row r="496">
      <c r="C496" s="45"/>
      <c r="D496" s="45"/>
      <c r="E496" s="76"/>
    </row>
    <row r="497">
      <c r="C497" s="45"/>
      <c r="D497" s="45"/>
      <c r="E497" s="76"/>
    </row>
    <row r="498">
      <c r="C498" s="45"/>
      <c r="D498" s="45"/>
      <c r="E498" s="76"/>
    </row>
    <row r="499">
      <c r="C499" s="45"/>
      <c r="D499" s="45"/>
      <c r="E499" s="76"/>
    </row>
    <row r="500">
      <c r="C500" s="45"/>
      <c r="D500" s="45"/>
      <c r="E500" s="76"/>
    </row>
    <row r="501">
      <c r="C501" s="45"/>
      <c r="D501" s="45"/>
      <c r="E501" s="76"/>
    </row>
    <row r="502">
      <c r="C502" s="45"/>
      <c r="D502" s="45"/>
      <c r="E502" s="76"/>
    </row>
    <row r="503">
      <c r="C503" s="45"/>
      <c r="D503" s="45"/>
      <c r="E503" s="76"/>
    </row>
    <row r="504">
      <c r="C504" s="45"/>
      <c r="D504" s="45"/>
      <c r="E504" s="76"/>
    </row>
    <row r="505">
      <c r="C505" s="45"/>
      <c r="D505" s="45"/>
      <c r="E505" s="76"/>
    </row>
    <row r="506">
      <c r="C506" s="45"/>
      <c r="D506" s="45"/>
      <c r="E506" s="76"/>
    </row>
    <row r="507">
      <c r="C507" s="45"/>
      <c r="D507" s="45"/>
      <c r="E507" s="76"/>
    </row>
    <row r="508">
      <c r="C508" s="45"/>
      <c r="D508" s="45"/>
      <c r="E508" s="76"/>
    </row>
    <row r="509">
      <c r="C509" s="45"/>
      <c r="D509" s="45"/>
      <c r="E509" s="76"/>
    </row>
    <row r="510">
      <c r="C510" s="45"/>
      <c r="D510" s="45"/>
      <c r="E510" s="76"/>
    </row>
    <row r="511">
      <c r="C511" s="45"/>
      <c r="D511" s="45"/>
      <c r="E511" s="76"/>
    </row>
    <row r="512">
      <c r="C512" s="45"/>
      <c r="D512" s="45"/>
      <c r="E512" s="76"/>
    </row>
    <row r="513">
      <c r="C513" s="45"/>
      <c r="D513" s="45"/>
      <c r="E513" s="76"/>
    </row>
    <row r="514">
      <c r="C514" s="45"/>
      <c r="D514" s="45"/>
      <c r="E514" s="76"/>
    </row>
    <row r="515">
      <c r="C515" s="45"/>
      <c r="D515" s="45"/>
      <c r="E515" s="76"/>
    </row>
    <row r="516">
      <c r="C516" s="45"/>
      <c r="D516" s="45"/>
      <c r="E516" s="76"/>
    </row>
    <row r="517">
      <c r="C517" s="45"/>
      <c r="D517" s="45"/>
      <c r="E517" s="76"/>
    </row>
    <row r="518">
      <c r="C518" s="45"/>
      <c r="D518" s="45"/>
      <c r="E518" s="76"/>
    </row>
    <row r="519">
      <c r="C519" s="45"/>
      <c r="D519" s="45"/>
      <c r="E519" s="76"/>
    </row>
    <row r="520">
      <c r="C520" s="45"/>
      <c r="D520" s="45"/>
      <c r="E520" s="76"/>
    </row>
    <row r="521">
      <c r="C521" s="45"/>
      <c r="D521" s="45"/>
      <c r="E521" s="76"/>
    </row>
    <row r="522">
      <c r="C522" s="45"/>
      <c r="D522" s="45"/>
      <c r="E522" s="76"/>
    </row>
    <row r="523">
      <c r="C523" s="45"/>
      <c r="D523" s="45"/>
      <c r="E523" s="76"/>
    </row>
    <row r="524">
      <c r="C524" s="45"/>
      <c r="D524" s="45"/>
      <c r="E524" s="76"/>
    </row>
    <row r="525">
      <c r="C525" s="45"/>
      <c r="D525" s="45"/>
      <c r="E525" s="76"/>
    </row>
    <row r="526">
      <c r="C526" s="45"/>
      <c r="D526" s="45"/>
      <c r="E526" s="76"/>
    </row>
    <row r="527">
      <c r="C527" s="45"/>
      <c r="D527" s="45"/>
      <c r="E527" s="76"/>
    </row>
    <row r="528">
      <c r="C528" s="45"/>
      <c r="D528" s="45"/>
      <c r="E528" s="76"/>
    </row>
    <row r="529">
      <c r="C529" s="45"/>
      <c r="D529" s="45"/>
      <c r="E529" s="76"/>
    </row>
    <row r="530">
      <c r="C530" s="45"/>
      <c r="D530" s="45"/>
      <c r="E530" s="76"/>
    </row>
    <row r="531">
      <c r="C531" s="45"/>
      <c r="D531" s="45"/>
      <c r="E531" s="76"/>
    </row>
    <row r="532">
      <c r="C532" s="45"/>
      <c r="D532" s="45"/>
      <c r="E532" s="76"/>
    </row>
    <row r="533">
      <c r="C533" s="45"/>
      <c r="D533" s="45"/>
      <c r="E533" s="76"/>
    </row>
    <row r="534">
      <c r="C534" s="45"/>
      <c r="D534" s="45"/>
      <c r="E534" s="76"/>
    </row>
    <row r="535">
      <c r="C535" s="45"/>
      <c r="D535" s="45"/>
      <c r="E535" s="76"/>
    </row>
    <row r="536">
      <c r="C536" s="45"/>
      <c r="D536" s="45"/>
      <c r="E536" s="76"/>
    </row>
    <row r="537">
      <c r="C537" s="45"/>
      <c r="D537" s="45"/>
      <c r="E537" s="76"/>
    </row>
    <row r="538">
      <c r="C538" s="45"/>
      <c r="D538" s="45"/>
      <c r="E538" s="76"/>
    </row>
    <row r="539">
      <c r="C539" s="45"/>
      <c r="D539" s="45"/>
      <c r="E539" s="76"/>
    </row>
    <row r="540">
      <c r="C540" s="45"/>
      <c r="D540" s="45"/>
      <c r="E540" s="76"/>
    </row>
    <row r="541">
      <c r="C541" s="45"/>
      <c r="D541" s="45"/>
      <c r="E541" s="76"/>
    </row>
    <row r="542">
      <c r="C542" s="45"/>
      <c r="D542" s="45"/>
      <c r="E542" s="76"/>
    </row>
    <row r="543">
      <c r="C543" s="45"/>
      <c r="D543" s="45"/>
      <c r="E543" s="76"/>
    </row>
    <row r="544">
      <c r="C544" s="45"/>
      <c r="D544" s="45"/>
      <c r="E544" s="76"/>
    </row>
    <row r="545">
      <c r="C545" s="45"/>
      <c r="D545" s="45"/>
      <c r="E545" s="76"/>
    </row>
    <row r="546">
      <c r="C546" s="45"/>
      <c r="D546" s="45"/>
      <c r="E546" s="76"/>
    </row>
    <row r="547">
      <c r="C547" s="45"/>
      <c r="D547" s="45"/>
      <c r="E547" s="76"/>
    </row>
    <row r="548">
      <c r="C548" s="45"/>
      <c r="D548" s="45"/>
      <c r="E548" s="76"/>
    </row>
    <row r="549">
      <c r="C549" s="45"/>
      <c r="D549" s="45"/>
      <c r="E549" s="76"/>
    </row>
    <row r="550">
      <c r="C550" s="45"/>
      <c r="D550" s="45"/>
      <c r="E550" s="76"/>
    </row>
    <row r="551">
      <c r="C551" s="45"/>
      <c r="D551" s="45"/>
      <c r="E551" s="76"/>
    </row>
    <row r="552">
      <c r="C552" s="45"/>
      <c r="D552" s="45"/>
      <c r="E552" s="76"/>
    </row>
    <row r="553">
      <c r="C553" s="45"/>
      <c r="D553" s="45"/>
      <c r="E553" s="76"/>
    </row>
    <row r="554">
      <c r="C554" s="45"/>
      <c r="D554" s="45"/>
      <c r="E554" s="76"/>
    </row>
    <row r="555">
      <c r="C555" s="45"/>
      <c r="D555" s="45"/>
      <c r="E555" s="76"/>
    </row>
    <row r="556">
      <c r="C556" s="45"/>
      <c r="D556" s="45"/>
      <c r="E556" s="76"/>
    </row>
    <row r="557">
      <c r="C557" s="45"/>
      <c r="D557" s="45"/>
      <c r="E557" s="76"/>
    </row>
    <row r="558">
      <c r="C558" s="45"/>
      <c r="D558" s="45"/>
      <c r="E558" s="76"/>
    </row>
    <row r="559">
      <c r="C559" s="45"/>
      <c r="D559" s="45"/>
      <c r="E559" s="76"/>
    </row>
    <row r="560">
      <c r="C560" s="45"/>
      <c r="D560" s="45"/>
      <c r="E560" s="76"/>
    </row>
    <row r="561">
      <c r="C561" s="45"/>
      <c r="D561" s="45"/>
      <c r="E561" s="76"/>
    </row>
    <row r="562">
      <c r="C562" s="45"/>
      <c r="D562" s="45"/>
      <c r="E562" s="76"/>
    </row>
    <row r="563">
      <c r="C563" s="45"/>
      <c r="D563" s="45"/>
      <c r="E563" s="76"/>
    </row>
    <row r="564">
      <c r="C564" s="45"/>
      <c r="D564" s="45"/>
      <c r="E564" s="76"/>
    </row>
    <row r="565">
      <c r="C565" s="45"/>
      <c r="D565" s="45"/>
      <c r="E565" s="76"/>
    </row>
    <row r="566">
      <c r="C566" s="45"/>
      <c r="D566" s="45"/>
      <c r="E566" s="76"/>
    </row>
    <row r="567">
      <c r="C567" s="45"/>
      <c r="D567" s="45"/>
      <c r="E567" s="76"/>
    </row>
    <row r="568">
      <c r="C568" s="45"/>
      <c r="D568" s="45"/>
      <c r="E568" s="76"/>
    </row>
    <row r="569">
      <c r="C569" s="45"/>
      <c r="D569" s="45"/>
      <c r="E569" s="76"/>
    </row>
    <row r="570">
      <c r="C570" s="45"/>
      <c r="D570" s="45"/>
      <c r="E570" s="76"/>
    </row>
    <row r="571">
      <c r="C571" s="45"/>
      <c r="D571" s="45"/>
      <c r="E571" s="76"/>
    </row>
    <row r="572">
      <c r="C572" s="45"/>
      <c r="D572" s="45"/>
      <c r="E572" s="76"/>
    </row>
    <row r="573">
      <c r="C573" s="45"/>
      <c r="D573" s="45"/>
      <c r="E573" s="76"/>
    </row>
    <row r="574">
      <c r="C574" s="45"/>
      <c r="D574" s="45"/>
      <c r="E574" s="76"/>
    </row>
    <row r="575">
      <c r="C575" s="45"/>
      <c r="D575" s="45"/>
      <c r="E575" s="76"/>
    </row>
    <row r="576">
      <c r="C576" s="45"/>
      <c r="D576" s="45"/>
      <c r="E576" s="76"/>
    </row>
    <row r="577">
      <c r="C577" s="45"/>
      <c r="D577" s="45"/>
      <c r="E577" s="76"/>
    </row>
    <row r="578">
      <c r="C578" s="45"/>
      <c r="D578" s="45"/>
      <c r="E578" s="76"/>
    </row>
    <row r="579">
      <c r="C579" s="45"/>
      <c r="D579" s="45"/>
      <c r="E579" s="76"/>
    </row>
    <row r="580">
      <c r="C580" s="45"/>
      <c r="D580" s="45"/>
      <c r="E580" s="76"/>
    </row>
    <row r="581">
      <c r="C581" s="45"/>
      <c r="D581" s="45"/>
      <c r="E581" s="76"/>
    </row>
    <row r="582">
      <c r="C582" s="45"/>
      <c r="D582" s="45"/>
      <c r="E582" s="76"/>
    </row>
    <row r="583">
      <c r="C583" s="45"/>
      <c r="D583" s="45"/>
      <c r="E583" s="76"/>
    </row>
    <row r="584">
      <c r="C584" s="45"/>
      <c r="D584" s="45"/>
      <c r="E584" s="76"/>
    </row>
    <row r="585">
      <c r="C585" s="45"/>
      <c r="D585" s="45"/>
      <c r="E585" s="76"/>
    </row>
    <row r="586">
      <c r="C586" s="45"/>
      <c r="D586" s="45"/>
      <c r="E586" s="76"/>
    </row>
    <row r="587">
      <c r="C587" s="45"/>
      <c r="D587" s="45"/>
      <c r="E587" s="76"/>
    </row>
    <row r="588">
      <c r="C588" s="45"/>
      <c r="D588" s="45"/>
      <c r="E588" s="76"/>
    </row>
    <row r="589">
      <c r="C589" s="45"/>
      <c r="D589" s="45"/>
      <c r="E589" s="76"/>
    </row>
    <row r="590">
      <c r="C590" s="45"/>
      <c r="D590" s="45"/>
      <c r="E590" s="76"/>
    </row>
    <row r="591">
      <c r="C591" s="45"/>
      <c r="D591" s="45"/>
      <c r="E591" s="76"/>
    </row>
    <row r="592">
      <c r="C592" s="45"/>
      <c r="D592" s="45"/>
      <c r="E592" s="76"/>
    </row>
    <row r="593">
      <c r="C593" s="45"/>
      <c r="D593" s="45"/>
      <c r="E593" s="76"/>
    </row>
    <row r="594">
      <c r="C594" s="45"/>
      <c r="D594" s="45"/>
      <c r="E594" s="76"/>
    </row>
    <row r="595">
      <c r="C595" s="45"/>
      <c r="D595" s="45"/>
      <c r="E595" s="76"/>
    </row>
    <row r="596">
      <c r="C596" s="45"/>
      <c r="D596" s="45"/>
      <c r="E596" s="76"/>
    </row>
    <row r="597">
      <c r="C597" s="45"/>
      <c r="D597" s="45"/>
      <c r="E597" s="76"/>
    </row>
    <row r="598">
      <c r="C598" s="45"/>
      <c r="D598" s="45"/>
      <c r="E598" s="76"/>
    </row>
    <row r="599">
      <c r="C599" s="45"/>
      <c r="D599" s="45"/>
      <c r="E599" s="76"/>
    </row>
    <row r="600">
      <c r="C600" s="45"/>
      <c r="D600" s="45"/>
      <c r="E600" s="76"/>
    </row>
    <row r="601">
      <c r="C601" s="45"/>
      <c r="D601" s="45"/>
      <c r="E601" s="76"/>
    </row>
    <row r="602">
      <c r="C602" s="45"/>
      <c r="D602" s="45"/>
      <c r="E602" s="76"/>
    </row>
    <row r="603">
      <c r="C603" s="45"/>
      <c r="D603" s="45"/>
      <c r="E603" s="76"/>
    </row>
    <row r="604">
      <c r="C604" s="45"/>
      <c r="D604" s="45"/>
      <c r="E604" s="76"/>
    </row>
    <row r="605">
      <c r="C605" s="45"/>
      <c r="D605" s="45"/>
      <c r="E605" s="76"/>
    </row>
    <row r="606">
      <c r="C606" s="45"/>
      <c r="D606" s="45"/>
      <c r="E606" s="76"/>
    </row>
    <row r="607">
      <c r="C607" s="45"/>
      <c r="D607" s="45"/>
      <c r="E607" s="76"/>
    </row>
    <row r="608">
      <c r="C608" s="45"/>
      <c r="D608" s="45"/>
      <c r="E608" s="76"/>
    </row>
    <row r="609">
      <c r="C609" s="45"/>
      <c r="D609" s="45"/>
      <c r="E609" s="76"/>
    </row>
    <row r="610">
      <c r="C610" s="45"/>
      <c r="D610" s="45"/>
      <c r="E610" s="76"/>
    </row>
    <row r="611">
      <c r="C611" s="45"/>
      <c r="D611" s="45"/>
      <c r="E611" s="76"/>
    </row>
    <row r="612">
      <c r="C612" s="45"/>
      <c r="D612" s="45"/>
      <c r="E612" s="76"/>
    </row>
    <row r="613">
      <c r="C613" s="45"/>
      <c r="D613" s="45"/>
      <c r="E613" s="76"/>
    </row>
    <row r="614">
      <c r="C614" s="45"/>
      <c r="D614" s="45"/>
      <c r="E614" s="76"/>
    </row>
    <row r="615">
      <c r="C615" s="45"/>
      <c r="D615" s="45"/>
      <c r="E615" s="76"/>
    </row>
    <row r="616">
      <c r="C616" s="45"/>
      <c r="D616" s="45"/>
      <c r="E616" s="76"/>
    </row>
    <row r="617">
      <c r="C617" s="45"/>
      <c r="D617" s="45"/>
      <c r="E617" s="76"/>
    </row>
    <row r="618">
      <c r="C618" s="45"/>
      <c r="D618" s="45"/>
      <c r="E618" s="76"/>
    </row>
    <row r="619">
      <c r="C619" s="45"/>
      <c r="D619" s="45"/>
      <c r="E619" s="76"/>
    </row>
    <row r="620">
      <c r="C620" s="45"/>
      <c r="D620" s="45"/>
      <c r="E620" s="76"/>
    </row>
    <row r="621">
      <c r="C621" s="45"/>
      <c r="D621" s="45"/>
      <c r="E621" s="76"/>
    </row>
    <row r="622">
      <c r="C622" s="45"/>
      <c r="D622" s="45"/>
      <c r="E622" s="76"/>
    </row>
    <row r="623">
      <c r="C623" s="45"/>
      <c r="D623" s="45"/>
      <c r="E623" s="76"/>
    </row>
    <row r="624">
      <c r="C624" s="45"/>
      <c r="D624" s="45"/>
      <c r="E624" s="76"/>
    </row>
    <row r="625">
      <c r="C625" s="45"/>
      <c r="D625" s="45"/>
      <c r="E625" s="76"/>
    </row>
    <row r="626">
      <c r="C626" s="45"/>
      <c r="D626" s="45"/>
      <c r="E626" s="76"/>
    </row>
    <row r="627">
      <c r="C627" s="45"/>
      <c r="D627" s="45"/>
      <c r="E627" s="76"/>
    </row>
    <row r="628">
      <c r="C628" s="45"/>
      <c r="D628" s="45"/>
      <c r="E628" s="76"/>
    </row>
    <row r="629">
      <c r="C629" s="45"/>
      <c r="D629" s="45"/>
      <c r="E629" s="76"/>
    </row>
    <row r="630">
      <c r="C630" s="45"/>
      <c r="D630" s="45"/>
      <c r="E630" s="76"/>
    </row>
    <row r="631">
      <c r="C631" s="45"/>
      <c r="D631" s="45"/>
      <c r="E631" s="76"/>
    </row>
    <row r="632">
      <c r="C632" s="45"/>
      <c r="D632" s="45"/>
      <c r="E632" s="76"/>
    </row>
    <row r="633">
      <c r="C633" s="45"/>
      <c r="D633" s="45"/>
      <c r="E633" s="76"/>
    </row>
    <row r="634">
      <c r="C634" s="45"/>
      <c r="D634" s="45"/>
      <c r="E634" s="76"/>
    </row>
    <row r="635">
      <c r="C635" s="45"/>
      <c r="D635" s="45"/>
      <c r="E635" s="76"/>
    </row>
    <row r="636">
      <c r="C636" s="45"/>
      <c r="D636" s="45"/>
      <c r="E636" s="76"/>
    </row>
    <row r="637">
      <c r="C637" s="45"/>
      <c r="D637" s="45"/>
      <c r="E637" s="76"/>
    </row>
    <row r="638">
      <c r="C638" s="45"/>
      <c r="D638" s="45"/>
      <c r="E638" s="76"/>
    </row>
    <row r="639">
      <c r="C639" s="45"/>
      <c r="D639" s="45"/>
      <c r="E639" s="76"/>
    </row>
    <row r="640">
      <c r="C640" s="45"/>
      <c r="D640" s="45"/>
      <c r="E640" s="76"/>
    </row>
    <row r="641">
      <c r="C641" s="45"/>
      <c r="D641" s="45"/>
      <c r="E641" s="76"/>
    </row>
    <row r="642">
      <c r="C642" s="45"/>
      <c r="D642" s="45"/>
      <c r="E642" s="76"/>
    </row>
    <row r="643">
      <c r="C643" s="45"/>
      <c r="D643" s="45"/>
      <c r="E643" s="76"/>
    </row>
    <row r="644">
      <c r="C644" s="45"/>
      <c r="D644" s="45"/>
      <c r="E644" s="76"/>
    </row>
    <row r="645">
      <c r="C645" s="45"/>
      <c r="D645" s="45"/>
      <c r="E645" s="76"/>
    </row>
    <row r="646">
      <c r="C646" s="45"/>
      <c r="D646" s="45"/>
      <c r="E646" s="76"/>
    </row>
    <row r="647">
      <c r="C647" s="45"/>
      <c r="D647" s="45"/>
      <c r="E647" s="76"/>
    </row>
    <row r="648">
      <c r="C648" s="45"/>
      <c r="D648" s="45"/>
      <c r="E648" s="76"/>
    </row>
    <row r="649">
      <c r="C649" s="45"/>
      <c r="D649" s="45"/>
      <c r="E649" s="76"/>
    </row>
    <row r="650">
      <c r="C650" s="45"/>
      <c r="D650" s="45"/>
      <c r="E650" s="76"/>
    </row>
    <row r="651">
      <c r="C651" s="45"/>
      <c r="D651" s="45"/>
      <c r="E651" s="76"/>
    </row>
    <row r="652">
      <c r="C652" s="45"/>
      <c r="D652" s="45"/>
      <c r="E652" s="76"/>
    </row>
    <row r="653">
      <c r="C653" s="45"/>
      <c r="D653" s="45"/>
      <c r="E653" s="76"/>
    </row>
    <row r="654">
      <c r="C654" s="45"/>
      <c r="D654" s="45"/>
      <c r="E654" s="76"/>
    </row>
    <row r="655">
      <c r="C655" s="45"/>
      <c r="D655" s="45"/>
      <c r="E655" s="76"/>
    </row>
    <row r="656">
      <c r="C656" s="45"/>
      <c r="D656" s="45"/>
      <c r="E656" s="76"/>
    </row>
    <row r="657">
      <c r="C657" s="45"/>
      <c r="D657" s="45"/>
      <c r="E657" s="76"/>
    </row>
    <row r="658">
      <c r="C658" s="45"/>
      <c r="D658" s="45"/>
      <c r="E658" s="76"/>
    </row>
    <row r="659">
      <c r="C659" s="45"/>
      <c r="D659" s="45"/>
      <c r="E659" s="76"/>
    </row>
    <row r="660">
      <c r="C660" s="45"/>
      <c r="D660" s="45"/>
      <c r="E660" s="76"/>
    </row>
    <row r="661">
      <c r="C661" s="45"/>
      <c r="D661" s="45"/>
      <c r="E661" s="76"/>
    </row>
    <row r="662">
      <c r="C662" s="45"/>
      <c r="D662" s="45"/>
      <c r="E662" s="76"/>
    </row>
    <row r="663">
      <c r="C663" s="45"/>
      <c r="D663" s="45"/>
      <c r="E663" s="76"/>
    </row>
    <row r="664">
      <c r="C664" s="45"/>
      <c r="D664" s="45"/>
      <c r="E664" s="76"/>
    </row>
    <row r="665">
      <c r="C665" s="45"/>
      <c r="D665" s="45"/>
      <c r="E665" s="76"/>
    </row>
    <row r="666">
      <c r="C666" s="45"/>
      <c r="D666" s="45"/>
      <c r="E666" s="76"/>
    </row>
    <row r="667">
      <c r="C667" s="45"/>
      <c r="D667" s="45"/>
      <c r="E667" s="76"/>
    </row>
    <row r="668">
      <c r="C668" s="45"/>
      <c r="D668" s="45"/>
      <c r="E668" s="76"/>
    </row>
    <row r="669">
      <c r="C669" s="45"/>
      <c r="D669" s="45"/>
      <c r="E669" s="76"/>
    </row>
    <row r="670">
      <c r="C670" s="45"/>
      <c r="D670" s="45"/>
      <c r="E670" s="76"/>
    </row>
    <row r="671">
      <c r="C671" s="45"/>
      <c r="D671" s="45"/>
      <c r="E671" s="76"/>
    </row>
    <row r="672">
      <c r="C672" s="45"/>
      <c r="D672" s="45"/>
      <c r="E672" s="76"/>
    </row>
    <row r="673">
      <c r="C673" s="45"/>
      <c r="D673" s="45"/>
      <c r="E673" s="76"/>
    </row>
    <row r="674">
      <c r="C674" s="45"/>
      <c r="D674" s="45"/>
      <c r="E674" s="76"/>
    </row>
    <row r="675">
      <c r="C675" s="45"/>
      <c r="D675" s="45"/>
      <c r="E675" s="76"/>
    </row>
    <row r="676">
      <c r="C676" s="45"/>
      <c r="D676" s="45"/>
      <c r="E676" s="76"/>
    </row>
    <row r="677">
      <c r="C677" s="45"/>
      <c r="D677" s="45"/>
      <c r="E677" s="76"/>
    </row>
    <row r="678">
      <c r="C678" s="45"/>
      <c r="D678" s="45"/>
      <c r="E678" s="76"/>
    </row>
    <row r="679">
      <c r="C679" s="45"/>
      <c r="D679" s="45"/>
      <c r="E679" s="76"/>
    </row>
    <row r="680">
      <c r="C680" s="45"/>
      <c r="D680" s="45"/>
      <c r="E680" s="76"/>
    </row>
    <row r="681">
      <c r="C681" s="45"/>
      <c r="D681" s="45"/>
      <c r="E681" s="76"/>
    </row>
    <row r="682">
      <c r="C682" s="45"/>
      <c r="D682" s="45"/>
      <c r="E682" s="76"/>
    </row>
    <row r="683">
      <c r="C683" s="45"/>
      <c r="D683" s="45"/>
      <c r="E683" s="76"/>
    </row>
    <row r="684">
      <c r="C684" s="45"/>
      <c r="D684" s="45"/>
      <c r="E684" s="76"/>
    </row>
    <row r="685">
      <c r="C685" s="45"/>
      <c r="D685" s="45"/>
      <c r="E685" s="76"/>
    </row>
    <row r="686">
      <c r="C686" s="45"/>
      <c r="D686" s="45"/>
      <c r="E686" s="76"/>
    </row>
    <row r="687">
      <c r="C687" s="45"/>
      <c r="D687" s="45"/>
      <c r="E687" s="76"/>
    </row>
    <row r="688">
      <c r="C688" s="45"/>
      <c r="D688" s="45"/>
      <c r="E688" s="76"/>
    </row>
    <row r="689">
      <c r="C689" s="45"/>
      <c r="D689" s="45"/>
      <c r="E689" s="76"/>
    </row>
    <row r="690">
      <c r="C690" s="45"/>
      <c r="D690" s="45"/>
      <c r="E690" s="76"/>
    </row>
    <row r="691">
      <c r="C691" s="45"/>
      <c r="D691" s="45"/>
      <c r="E691" s="76"/>
    </row>
    <row r="692">
      <c r="C692" s="45"/>
      <c r="D692" s="45"/>
      <c r="E692" s="76"/>
    </row>
    <row r="693">
      <c r="C693" s="45"/>
      <c r="D693" s="45"/>
      <c r="E693" s="76"/>
    </row>
    <row r="694">
      <c r="C694" s="45"/>
      <c r="D694" s="45"/>
      <c r="E694" s="76"/>
    </row>
    <row r="695">
      <c r="C695" s="45"/>
      <c r="D695" s="45"/>
      <c r="E695" s="76"/>
    </row>
    <row r="696">
      <c r="C696" s="45"/>
      <c r="D696" s="45"/>
      <c r="E696" s="76"/>
    </row>
    <row r="697">
      <c r="C697" s="45"/>
      <c r="D697" s="45"/>
      <c r="E697" s="76"/>
    </row>
    <row r="698">
      <c r="C698" s="45"/>
      <c r="D698" s="45"/>
      <c r="E698" s="76"/>
    </row>
    <row r="699">
      <c r="C699" s="45"/>
      <c r="D699" s="45"/>
      <c r="E699" s="76"/>
    </row>
    <row r="700">
      <c r="C700" s="45"/>
      <c r="D700" s="45"/>
      <c r="E700" s="76"/>
    </row>
    <row r="701">
      <c r="C701" s="45"/>
      <c r="D701" s="45"/>
      <c r="E701" s="76"/>
    </row>
    <row r="702">
      <c r="C702" s="45"/>
      <c r="D702" s="45"/>
      <c r="E702" s="76"/>
    </row>
    <row r="703">
      <c r="C703" s="45"/>
      <c r="D703" s="45"/>
      <c r="E703" s="76"/>
    </row>
    <row r="704">
      <c r="C704" s="45"/>
      <c r="D704" s="45"/>
      <c r="E704" s="76"/>
    </row>
    <row r="705">
      <c r="C705" s="45"/>
      <c r="D705" s="45"/>
      <c r="E705" s="76"/>
    </row>
    <row r="706">
      <c r="C706" s="45"/>
      <c r="D706" s="45"/>
      <c r="E706" s="76"/>
    </row>
    <row r="707">
      <c r="C707" s="45"/>
      <c r="D707" s="45"/>
      <c r="E707" s="76"/>
    </row>
    <row r="708">
      <c r="C708" s="45"/>
      <c r="D708" s="45"/>
      <c r="E708" s="76"/>
    </row>
    <row r="709">
      <c r="C709" s="45"/>
      <c r="D709" s="45"/>
      <c r="E709" s="76"/>
    </row>
    <row r="710">
      <c r="C710" s="45"/>
      <c r="D710" s="45"/>
      <c r="E710" s="76"/>
    </row>
    <row r="711">
      <c r="C711" s="45"/>
      <c r="D711" s="45"/>
      <c r="E711" s="76"/>
    </row>
    <row r="712">
      <c r="C712" s="45"/>
      <c r="D712" s="45"/>
      <c r="E712" s="76"/>
    </row>
    <row r="713">
      <c r="C713" s="45"/>
      <c r="D713" s="45"/>
      <c r="E713" s="76"/>
    </row>
    <row r="714">
      <c r="C714" s="45"/>
      <c r="D714" s="45"/>
      <c r="E714" s="76"/>
    </row>
    <row r="715">
      <c r="C715" s="45"/>
      <c r="D715" s="45"/>
      <c r="E715" s="76"/>
    </row>
    <row r="716">
      <c r="C716" s="45"/>
      <c r="D716" s="45"/>
      <c r="E716" s="76"/>
    </row>
    <row r="717">
      <c r="C717" s="45"/>
      <c r="D717" s="45"/>
      <c r="E717" s="76"/>
    </row>
    <row r="718">
      <c r="C718" s="45"/>
      <c r="D718" s="45"/>
      <c r="E718" s="76"/>
    </row>
    <row r="719">
      <c r="C719" s="45"/>
      <c r="D719" s="45"/>
      <c r="E719" s="76"/>
    </row>
    <row r="720">
      <c r="C720" s="45"/>
      <c r="D720" s="45"/>
      <c r="E720" s="76"/>
    </row>
    <row r="721">
      <c r="C721" s="45"/>
      <c r="D721" s="45"/>
      <c r="E721" s="76"/>
    </row>
    <row r="722">
      <c r="C722" s="45"/>
      <c r="D722" s="45"/>
      <c r="E722" s="76"/>
    </row>
    <row r="723">
      <c r="C723" s="45"/>
      <c r="D723" s="45"/>
      <c r="E723" s="76"/>
    </row>
    <row r="724">
      <c r="C724" s="45"/>
      <c r="D724" s="45"/>
      <c r="E724" s="76"/>
    </row>
    <row r="725">
      <c r="C725" s="45"/>
      <c r="D725" s="45"/>
      <c r="E725" s="76"/>
    </row>
    <row r="726">
      <c r="C726" s="45"/>
      <c r="D726" s="45"/>
      <c r="E726" s="76"/>
    </row>
    <row r="727">
      <c r="C727" s="45"/>
      <c r="D727" s="45"/>
      <c r="E727" s="76"/>
    </row>
    <row r="728">
      <c r="C728" s="45"/>
      <c r="D728" s="45"/>
      <c r="E728" s="76"/>
    </row>
    <row r="729">
      <c r="C729" s="45"/>
      <c r="D729" s="45"/>
      <c r="E729" s="76"/>
    </row>
    <row r="730">
      <c r="C730" s="45"/>
      <c r="D730" s="45"/>
      <c r="E730" s="76"/>
    </row>
    <row r="731">
      <c r="C731" s="45"/>
      <c r="D731" s="45"/>
      <c r="E731" s="76"/>
    </row>
    <row r="732">
      <c r="C732" s="45"/>
      <c r="D732" s="45"/>
      <c r="E732" s="76"/>
    </row>
    <row r="733">
      <c r="C733" s="45"/>
      <c r="D733" s="45"/>
      <c r="E733" s="76"/>
    </row>
    <row r="734">
      <c r="C734" s="45"/>
      <c r="D734" s="45"/>
      <c r="E734" s="76"/>
    </row>
    <row r="735">
      <c r="C735" s="45"/>
      <c r="D735" s="45"/>
      <c r="E735" s="76"/>
    </row>
    <row r="736">
      <c r="C736" s="45"/>
      <c r="D736" s="45"/>
      <c r="E736" s="76"/>
    </row>
    <row r="737">
      <c r="C737" s="45"/>
      <c r="D737" s="45"/>
      <c r="E737" s="76"/>
    </row>
    <row r="738">
      <c r="C738" s="45"/>
      <c r="D738" s="45"/>
      <c r="E738" s="76"/>
    </row>
    <row r="739">
      <c r="C739" s="45"/>
      <c r="D739" s="45"/>
      <c r="E739" s="76"/>
    </row>
    <row r="740">
      <c r="C740" s="45"/>
      <c r="D740" s="45"/>
      <c r="E740" s="76"/>
    </row>
    <row r="741">
      <c r="C741" s="45"/>
      <c r="D741" s="45"/>
      <c r="E741" s="76"/>
    </row>
    <row r="742">
      <c r="C742" s="45"/>
      <c r="D742" s="45"/>
      <c r="E742" s="76"/>
    </row>
    <row r="743">
      <c r="C743" s="45"/>
      <c r="D743" s="45"/>
      <c r="E743" s="76"/>
    </row>
    <row r="744">
      <c r="C744" s="45"/>
      <c r="D744" s="45"/>
      <c r="E744" s="76"/>
    </row>
    <row r="745">
      <c r="C745" s="45"/>
      <c r="D745" s="45"/>
      <c r="E745" s="76"/>
    </row>
    <row r="746">
      <c r="C746" s="45"/>
      <c r="D746" s="45"/>
      <c r="E746" s="76"/>
    </row>
    <row r="747">
      <c r="C747" s="45"/>
      <c r="D747" s="45"/>
      <c r="E747" s="76"/>
    </row>
    <row r="748">
      <c r="C748" s="45"/>
      <c r="D748" s="45"/>
      <c r="E748" s="76"/>
    </row>
    <row r="749">
      <c r="C749" s="45"/>
      <c r="D749" s="45"/>
      <c r="E749" s="76"/>
    </row>
    <row r="750">
      <c r="C750" s="45"/>
      <c r="D750" s="45"/>
      <c r="E750" s="76"/>
    </row>
    <row r="751">
      <c r="C751" s="45"/>
      <c r="D751" s="45"/>
      <c r="E751" s="76"/>
    </row>
    <row r="752">
      <c r="C752" s="45"/>
      <c r="D752" s="45"/>
      <c r="E752" s="76"/>
    </row>
    <row r="753">
      <c r="C753" s="45"/>
      <c r="D753" s="45"/>
      <c r="E753" s="76"/>
    </row>
    <row r="754">
      <c r="C754" s="45"/>
      <c r="D754" s="45"/>
      <c r="E754" s="76"/>
    </row>
    <row r="755">
      <c r="C755" s="45"/>
      <c r="D755" s="45"/>
      <c r="E755" s="76"/>
    </row>
    <row r="756">
      <c r="C756" s="45"/>
      <c r="D756" s="45"/>
      <c r="E756" s="76"/>
    </row>
    <row r="757">
      <c r="C757" s="45"/>
      <c r="D757" s="45"/>
      <c r="E757" s="76"/>
    </row>
    <row r="758">
      <c r="C758" s="45"/>
      <c r="D758" s="45"/>
      <c r="E758" s="76"/>
    </row>
    <row r="759">
      <c r="C759" s="45"/>
      <c r="D759" s="45"/>
      <c r="E759" s="76"/>
    </row>
    <row r="760">
      <c r="C760" s="45"/>
      <c r="D760" s="45"/>
      <c r="E760" s="76"/>
    </row>
    <row r="761">
      <c r="C761" s="45"/>
      <c r="D761" s="45"/>
      <c r="E761" s="76"/>
    </row>
    <row r="762">
      <c r="C762" s="45"/>
      <c r="D762" s="45"/>
      <c r="E762" s="76"/>
    </row>
    <row r="763">
      <c r="C763" s="45"/>
      <c r="D763" s="45"/>
      <c r="E763" s="76"/>
    </row>
    <row r="764">
      <c r="C764" s="45"/>
      <c r="D764" s="45"/>
      <c r="E764" s="76"/>
    </row>
    <row r="765">
      <c r="C765" s="45"/>
      <c r="D765" s="45"/>
      <c r="E765" s="76"/>
    </row>
    <row r="766">
      <c r="C766" s="45"/>
      <c r="D766" s="45"/>
      <c r="E766" s="76"/>
    </row>
    <row r="767">
      <c r="C767" s="45"/>
      <c r="D767" s="45"/>
      <c r="E767" s="76"/>
    </row>
    <row r="768">
      <c r="C768" s="45"/>
      <c r="D768" s="45"/>
      <c r="E768" s="76"/>
    </row>
    <row r="769">
      <c r="C769" s="45"/>
      <c r="D769" s="45"/>
      <c r="E769" s="76"/>
    </row>
    <row r="770">
      <c r="C770" s="45"/>
      <c r="D770" s="45"/>
      <c r="E770" s="76"/>
    </row>
    <row r="771">
      <c r="C771" s="45"/>
      <c r="D771" s="45"/>
      <c r="E771" s="76"/>
    </row>
    <row r="772">
      <c r="C772" s="45"/>
      <c r="D772" s="45"/>
      <c r="E772" s="76"/>
    </row>
    <row r="773">
      <c r="C773" s="45"/>
      <c r="D773" s="45"/>
      <c r="E773" s="76"/>
    </row>
    <row r="774">
      <c r="C774" s="45"/>
      <c r="D774" s="45"/>
      <c r="E774" s="76"/>
    </row>
    <row r="775">
      <c r="C775" s="45"/>
      <c r="D775" s="45"/>
      <c r="E775" s="76"/>
    </row>
    <row r="776">
      <c r="C776" s="45"/>
      <c r="D776" s="45"/>
      <c r="E776" s="76"/>
    </row>
    <row r="777">
      <c r="C777" s="45"/>
      <c r="D777" s="45"/>
      <c r="E777" s="76"/>
    </row>
    <row r="778">
      <c r="C778" s="45"/>
      <c r="D778" s="45"/>
      <c r="E778" s="76"/>
    </row>
    <row r="779">
      <c r="C779" s="45"/>
      <c r="D779" s="45"/>
      <c r="E779" s="76"/>
    </row>
    <row r="780">
      <c r="C780" s="45"/>
      <c r="D780" s="45"/>
      <c r="E780" s="76"/>
    </row>
    <row r="781">
      <c r="C781" s="45"/>
      <c r="D781" s="45"/>
      <c r="E781" s="76"/>
    </row>
    <row r="782">
      <c r="C782" s="45"/>
      <c r="D782" s="45"/>
      <c r="E782" s="76"/>
    </row>
    <row r="783">
      <c r="C783" s="45"/>
      <c r="D783" s="45"/>
      <c r="E783" s="76"/>
    </row>
    <row r="784">
      <c r="C784" s="45"/>
      <c r="D784" s="45"/>
      <c r="E784" s="76"/>
    </row>
    <row r="785">
      <c r="C785" s="45"/>
      <c r="D785" s="45"/>
      <c r="E785" s="76"/>
    </row>
    <row r="786">
      <c r="C786" s="45"/>
      <c r="D786" s="45"/>
      <c r="E786" s="76"/>
    </row>
    <row r="787">
      <c r="C787" s="45"/>
      <c r="D787" s="45"/>
      <c r="E787" s="76"/>
    </row>
    <row r="788">
      <c r="C788" s="45"/>
      <c r="D788" s="45"/>
      <c r="E788" s="76"/>
    </row>
    <row r="789">
      <c r="C789" s="45"/>
      <c r="D789" s="45"/>
      <c r="E789" s="76"/>
    </row>
    <row r="790">
      <c r="C790" s="45"/>
      <c r="D790" s="45"/>
      <c r="E790" s="76"/>
    </row>
    <row r="791">
      <c r="C791" s="45"/>
      <c r="D791" s="45"/>
      <c r="E791" s="76"/>
    </row>
    <row r="792">
      <c r="C792" s="45"/>
      <c r="D792" s="45"/>
      <c r="E792" s="76"/>
    </row>
    <row r="793">
      <c r="C793" s="45"/>
      <c r="D793" s="45"/>
      <c r="E793" s="76"/>
    </row>
    <row r="794">
      <c r="C794" s="45"/>
      <c r="D794" s="45"/>
      <c r="E794" s="76"/>
    </row>
    <row r="795">
      <c r="C795" s="45"/>
      <c r="D795" s="45"/>
      <c r="E795" s="76"/>
    </row>
    <row r="796">
      <c r="C796" s="45"/>
      <c r="D796" s="45"/>
      <c r="E796" s="76"/>
    </row>
    <row r="797">
      <c r="C797" s="45"/>
      <c r="D797" s="45"/>
      <c r="E797" s="76"/>
    </row>
    <row r="798">
      <c r="C798" s="45"/>
      <c r="D798" s="45"/>
      <c r="E798" s="76"/>
    </row>
    <row r="799">
      <c r="C799" s="45"/>
      <c r="D799" s="45"/>
      <c r="E799" s="76"/>
    </row>
    <row r="800">
      <c r="C800" s="45"/>
      <c r="D800" s="45"/>
      <c r="E800" s="76"/>
    </row>
    <row r="801">
      <c r="C801" s="45"/>
      <c r="D801" s="45"/>
      <c r="E801" s="76"/>
    </row>
    <row r="802">
      <c r="C802" s="45"/>
      <c r="D802" s="45"/>
      <c r="E802" s="76"/>
    </row>
    <row r="803">
      <c r="C803" s="45"/>
      <c r="D803" s="45"/>
      <c r="E803" s="76"/>
    </row>
    <row r="804">
      <c r="C804" s="45"/>
      <c r="D804" s="45"/>
      <c r="E804" s="76"/>
    </row>
    <row r="805">
      <c r="C805" s="45"/>
      <c r="D805" s="45"/>
      <c r="E805" s="76"/>
    </row>
    <row r="806">
      <c r="C806" s="45"/>
      <c r="D806" s="45"/>
      <c r="E806" s="76"/>
    </row>
    <row r="807">
      <c r="C807" s="45"/>
      <c r="D807" s="45"/>
      <c r="E807" s="76"/>
    </row>
    <row r="808">
      <c r="C808" s="45"/>
      <c r="D808" s="45"/>
      <c r="E808" s="76"/>
    </row>
    <row r="809">
      <c r="C809" s="45"/>
      <c r="D809" s="45"/>
      <c r="E809" s="76"/>
    </row>
    <row r="810">
      <c r="C810" s="45"/>
      <c r="D810" s="45"/>
      <c r="E810" s="76"/>
    </row>
    <row r="811">
      <c r="C811" s="45"/>
      <c r="D811" s="45"/>
      <c r="E811" s="76"/>
    </row>
    <row r="812">
      <c r="C812" s="45"/>
      <c r="D812" s="45"/>
      <c r="E812" s="76"/>
    </row>
    <row r="813">
      <c r="C813" s="45"/>
      <c r="D813" s="45"/>
      <c r="E813" s="76"/>
    </row>
    <row r="814">
      <c r="C814" s="45"/>
      <c r="D814" s="45"/>
      <c r="E814" s="76"/>
    </row>
    <row r="815">
      <c r="C815" s="45"/>
      <c r="D815" s="45"/>
      <c r="E815" s="76"/>
    </row>
    <row r="816">
      <c r="C816" s="45"/>
      <c r="D816" s="45"/>
      <c r="E816" s="76"/>
    </row>
    <row r="817">
      <c r="C817" s="45"/>
      <c r="D817" s="45"/>
      <c r="E817" s="76"/>
    </row>
    <row r="818">
      <c r="C818" s="45"/>
      <c r="D818" s="45"/>
      <c r="E818" s="76"/>
    </row>
    <row r="819">
      <c r="C819" s="45"/>
      <c r="D819" s="45"/>
      <c r="E819" s="76"/>
    </row>
    <row r="820">
      <c r="C820" s="45"/>
      <c r="D820" s="45"/>
      <c r="E820" s="76"/>
    </row>
    <row r="821">
      <c r="C821" s="45"/>
      <c r="D821" s="45"/>
      <c r="E821" s="76"/>
    </row>
    <row r="822">
      <c r="C822" s="45"/>
      <c r="D822" s="45"/>
      <c r="E822" s="76"/>
    </row>
    <row r="823">
      <c r="C823" s="45"/>
      <c r="D823" s="45"/>
      <c r="E823" s="76"/>
    </row>
    <row r="824">
      <c r="C824" s="45"/>
      <c r="D824" s="45"/>
      <c r="E824" s="76"/>
    </row>
    <row r="825">
      <c r="C825" s="45"/>
      <c r="D825" s="45"/>
      <c r="E825" s="76"/>
    </row>
    <row r="826">
      <c r="C826" s="45"/>
      <c r="D826" s="45"/>
      <c r="E826" s="76"/>
    </row>
    <row r="827">
      <c r="C827" s="45"/>
      <c r="D827" s="45"/>
      <c r="E827" s="76"/>
    </row>
    <row r="828">
      <c r="C828" s="45"/>
      <c r="D828" s="45"/>
      <c r="E828" s="76"/>
    </row>
    <row r="829">
      <c r="C829" s="45"/>
      <c r="D829" s="45"/>
      <c r="E829" s="76"/>
    </row>
    <row r="830">
      <c r="C830" s="45"/>
      <c r="D830" s="45"/>
      <c r="E830" s="76"/>
    </row>
    <row r="831">
      <c r="C831" s="45"/>
      <c r="D831" s="45"/>
      <c r="E831" s="76"/>
    </row>
    <row r="832">
      <c r="C832" s="45"/>
      <c r="D832" s="45"/>
      <c r="E832" s="76"/>
    </row>
    <row r="833">
      <c r="C833" s="45"/>
      <c r="D833" s="45"/>
      <c r="E833" s="76"/>
    </row>
    <row r="834">
      <c r="C834" s="45"/>
      <c r="D834" s="45"/>
      <c r="E834" s="76"/>
    </row>
    <row r="835">
      <c r="C835" s="45"/>
      <c r="D835" s="45"/>
      <c r="E835" s="76"/>
    </row>
    <row r="836">
      <c r="C836" s="45"/>
      <c r="D836" s="45"/>
      <c r="E836" s="76"/>
    </row>
    <row r="837">
      <c r="C837" s="45"/>
      <c r="D837" s="45"/>
      <c r="E837" s="76"/>
    </row>
    <row r="838">
      <c r="C838" s="45"/>
      <c r="D838" s="45"/>
      <c r="E838" s="76"/>
    </row>
    <row r="839">
      <c r="C839" s="45"/>
      <c r="D839" s="45"/>
      <c r="E839" s="76"/>
    </row>
    <row r="840">
      <c r="C840" s="45"/>
      <c r="D840" s="45"/>
      <c r="E840" s="76"/>
    </row>
    <row r="841">
      <c r="C841" s="45"/>
      <c r="D841" s="45"/>
      <c r="E841" s="76"/>
    </row>
    <row r="842">
      <c r="C842" s="45"/>
      <c r="D842" s="45"/>
      <c r="E842" s="76"/>
    </row>
    <row r="843">
      <c r="C843" s="45"/>
      <c r="D843" s="45"/>
      <c r="E843" s="76"/>
    </row>
    <row r="844">
      <c r="C844" s="45"/>
      <c r="D844" s="45"/>
      <c r="E844" s="76"/>
    </row>
    <row r="845">
      <c r="C845" s="45"/>
      <c r="D845" s="45"/>
      <c r="E845" s="76"/>
    </row>
    <row r="846">
      <c r="C846" s="45"/>
      <c r="D846" s="45"/>
      <c r="E846" s="76"/>
    </row>
    <row r="847">
      <c r="C847" s="45"/>
      <c r="D847" s="45"/>
      <c r="E847" s="76"/>
    </row>
    <row r="848">
      <c r="C848" s="45"/>
      <c r="D848" s="45"/>
      <c r="E848" s="76"/>
    </row>
    <row r="849">
      <c r="C849" s="45"/>
      <c r="D849" s="45"/>
      <c r="E849" s="76"/>
    </row>
    <row r="850">
      <c r="C850" s="45"/>
      <c r="D850" s="45"/>
      <c r="E850" s="76"/>
    </row>
    <row r="851">
      <c r="C851" s="45"/>
      <c r="D851" s="45"/>
      <c r="E851" s="76"/>
    </row>
    <row r="852">
      <c r="C852" s="45"/>
      <c r="D852" s="45"/>
      <c r="E852" s="76"/>
    </row>
    <row r="853">
      <c r="C853" s="45"/>
      <c r="D853" s="45"/>
      <c r="E853" s="76"/>
    </row>
    <row r="854">
      <c r="C854" s="45"/>
      <c r="D854" s="45"/>
      <c r="E854" s="76"/>
    </row>
    <row r="855">
      <c r="C855" s="45"/>
      <c r="D855" s="45"/>
      <c r="E855" s="76"/>
    </row>
    <row r="856">
      <c r="C856" s="45"/>
      <c r="D856" s="45"/>
      <c r="E856" s="76"/>
    </row>
    <row r="857">
      <c r="C857" s="45"/>
      <c r="D857" s="45"/>
      <c r="E857" s="76"/>
    </row>
    <row r="858">
      <c r="C858" s="45"/>
      <c r="D858" s="45"/>
      <c r="E858" s="76"/>
    </row>
    <row r="859">
      <c r="C859" s="45"/>
      <c r="D859" s="45"/>
      <c r="E859" s="76"/>
    </row>
    <row r="860">
      <c r="C860" s="45"/>
      <c r="D860" s="45"/>
      <c r="E860" s="76"/>
    </row>
    <row r="861">
      <c r="C861" s="45"/>
      <c r="D861" s="45"/>
      <c r="E861" s="76"/>
    </row>
    <row r="862">
      <c r="C862" s="45"/>
      <c r="D862" s="45"/>
      <c r="E862" s="76"/>
    </row>
    <row r="863">
      <c r="C863" s="45"/>
      <c r="D863" s="45"/>
      <c r="E863" s="76"/>
    </row>
    <row r="864">
      <c r="C864" s="45"/>
      <c r="D864" s="45"/>
      <c r="E864" s="76"/>
    </row>
    <row r="865">
      <c r="C865" s="45"/>
      <c r="D865" s="45"/>
      <c r="E865" s="76"/>
    </row>
    <row r="866">
      <c r="C866" s="45"/>
      <c r="D866" s="45"/>
      <c r="E866" s="76"/>
    </row>
    <row r="867">
      <c r="C867" s="45"/>
      <c r="D867" s="45"/>
      <c r="E867" s="76"/>
    </row>
    <row r="868">
      <c r="C868" s="45"/>
      <c r="D868" s="45"/>
      <c r="E868" s="76"/>
    </row>
    <row r="869">
      <c r="C869" s="45"/>
      <c r="D869" s="45"/>
      <c r="E869" s="76"/>
    </row>
    <row r="870">
      <c r="C870" s="45"/>
      <c r="D870" s="45"/>
      <c r="E870" s="76"/>
    </row>
    <row r="871">
      <c r="C871" s="45"/>
      <c r="D871" s="45"/>
      <c r="E871" s="76"/>
    </row>
    <row r="872">
      <c r="C872" s="45"/>
      <c r="D872" s="45"/>
      <c r="E872" s="76"/>
    </row>
    <row r="873">
      <c r="C873" s="45"/>
      <c r="D873" s="45"/>
      <c r="E873" s="76"/>
    </row>
    <row r="874">
      <c r="C874" s="45"/>
      <c r="D874" s="45"/>
      <c r="E874" s="76"/>
    </row>
    <row r="875">
      <c r="C875" s="45"/>
      <c r="D875" s="45"/>
      <c r="E875" s="76"/>
    </row>
    <row r="876">
      <c r="C876" s="45"/>
      <c r="D876" s="45"/>
      <c r="E876" s="76"/>
    </row>
    <row r="877">
      <c r="C877" s="45"/>
      <c r="D877" s="45"/>
      <c r="E877" s="76"/>
    </row>
    <row r="878">
      <c r="C878" s="45"/>
      <c r="D878" s="45"/>
      <c r="E878" s="76"/>
    </row>
    <row r="879">
      <c r="C879" s="45"/>
      <c r="D879" s="45"/>
      <c r="E879" s="76"/>
    </row>
    <row r="880">
      <c r="C880" s="45"/>
      <c r="D880" s="45"/>
      <c r="E880" s="76"/>
    </row>
    <row r="881">
      <c r="C881" s="45"/>
      <c r="D881" s="45"/>
      <c r="E881" s="76"/>
    </row>
    <row r="882">
      <c r="C882" s="45"/>
      <c r="D882" s="45"/>
      <c r="E882" s="76"/>
    </row>
    <row r="883">
      <c r="C883" s="45"/>
      <c r="D883" s="45"/>
      <c r="E883" s="76"/>
    </row>
    <row r="884">
      <c r="C884" s="45"/>
      <c r="D884" s="45"/>
      <c r="E884" s="76"/>
    </row>
    <row r="885">
      <c r="C885" s="45"/>
      <c r="D885" s="45"/>
      <c r="E885" s="76"/>
    </row>
    <row r="886">
      <c r="C886" s="45"/>
      <c r="D886" s="45"/>
      <c r="E886" s="76"/>
    </row>
    <row r="887">
      <c r="C887" s="45"/>
      <c r="D887" s="45"/>
      <c r="E887" s="76"/>
    </row>
    <row r="888">
      <c r="C888" s="45"/>
      <c r="D888" s="45"/>
      <c r="E888" s="76"/>
    </row>
    <row r="889">
      <c r="C889" s="45"/>
      <c r="D889" s="45"/>
      <c r="E889" s="76"/>
    </row>
    <row r="890">
      <c r="C890" s="45"/>
      <c r="D890" s="45"/>
      <c r="E890" s="76"/>
    </row>
    <row r="891">
      <c r="C891" s="45"/>
      <c r="D891" s="45"/>
      <c r="E891" s="76"/>
    </row>
    <row r="892">
      <c r="C892" s="45"/>
      <c r="D892" s="45"/>
      <c r="E892" s="76"/>
    </row>
    <row r="893">
      <c r="C893" s="45"/>
      <c r="D893" s="45"/>
      <c r="E893" s="76"/>
    </row>
    <row r="894">
      <c r="C894" s="45"/>
      <c r="D894" s="45"/>
      <c r="E894" s="76"/>
    </row>
    <row r="895">
      <c r="C895" s="45"/>
      <c r="D895" s="45"/>
      <c r="E895" s="76"/>
    </row>
    <row r="896">
      <c r="C896" s="45"/>
      <c r="D896" s="45"/>
      <c r="E896" s="76"/>
    </row>
    <row r="897">
      <c r="C897" s="45"/>
      <c r="D897" s="45"/>
      <c r="E897" s="76"/>
    </row>
    <row r="898">
      <c r="C898" s="45"/>
      <c r="D898" s="45"/>
      <c r="E898" s="76"/>
    </row>
    <row r="899">
      <c r="C899" s="45"/>
      <c r="D899" s="45"/>
      <c r="E899" s="76"/>
    </row>
    <row r="900">
      <c r="C900" s="45"/>
      <c r="D900" s="45"/>
      <c r="E900" s="76"/>
    </row>
    <row r="901">
      <c r="C901" s="45"/>
      <c r="D901" s="45"/>
      <c r="E901" s="76"/>
    </row>
    <row r="902">
      <c r="C902" s="45"/>
      <c r="D902" s="45"/>
      <c r="E902" s="76"/>
    </row>
    <row r="903">
      <c r="C903" s="45"/>
      <c r="D903" s="45"/>
      <c r="E903" s="76"/>
    </row>
    <row r="904">
      <c r="C904" s="45"/>
      <c r="D904" s="45"/>
      <c r="E904" s="76"/>
    </row>
    <row r="905">
      <c r="C905" s="45"/>
      <c r="D905" s="45"/>
      <c r="E905" s="76"/>
    </row>
    <row r="906">
      <c r="C906" s="45"/>
      <c r="D906" s="45"/>
      <c r="E906" s="76"/>
    </row>
    <row r="907">
      <c r="C907" s="45"/>
      <c r="D907" s="45"/>
      <c r="E907" s="76"/>
    </row>
    <row r="908">
      <c r="C908" s="45"/>
      <c r="D908" s="45"/>
      <c r="E908" s="76"/>
    </row>
    <row r="909">
      <c r="C909" s="45"/>
      <c r="D909" s="45"/>
      <c r="E909" s="76"/>
    </row>
    <row r="910">
      <c r="C910" s="45"/>
      <c r="D910" s="45"/>
      <c r="E910" s="76"/>
    </row>
    <row r="911">
      <c r="C911" s="45"/>
      <c r="D911" s="45"/>
      <c r="E911" s="76"/>
    </row>
    <row r="912">
      <c r="C912" s="45"/>
      <c r="D912" s="45"/>
      <c r="E912" s="76"/>
    </row>
    <row r="913">
      <c r="C913" s="45"/>
      <c r="D913" s="45"/>
      <c r="E913" s="76"/>
    </row>
    <row r="914">
      <c r="C914" s="45"/>
      <c r="D914" s="45"/>
      <c r="E914" s="76"/>
    </row>
    <row r="915">
      <c r="C915" s="45"/>
      <c r="D915" s="45"/>
      <c r="E915" s="76"/>
    </row>
    <row r="916">
      <c r="C916" s="45"/>
      <c r="D916" s="45"/>
      <c r="E916" s="76"/>
    </row>
    <row r="917">
      <c r="C917" s="45"/>
      <c r="D917" s="45"/>
      <c r="E917" s="76"/>
    </row>
    <row r="918">
      <c r="C918" s="45"/>
      <c r="D918" s="45"/>
      <c r="E918" s="76"/>
    </row>
    <row r="919">
      <c r="C919" s="45"/>
      <c r="D919" s="45"/>
      <c r="E919" s="76"/>
    </row>
    <row r="920">
      <c r="C920" s="45"/>
      <c r="D920" s="45"/>
      <c r="E920" s="76"/>
    </row>
    <row r="921">
      <c r="C921" s="45"/>
      <c r="D921" s="45"/>
      <c r="E921" s="76"/>
    </row>
    <row r="922">
      <c r="C922" s="45"/>
      <c r="D922" s="45"/>
      <c r="E922" s="76"/>
    </row>
    <row r="923">
      <c r="C923" s="45"/>
      <c r="D923" s="45"/>
      <c r="E923" s="76"/>
    </row>
    <row r="924">
      <c r="C924" s="45"/>
      <c r="D924" s="45"/>
      <c r="E924" s="76"/>
    </row>
    <row r="925">
      <c r="C925" s="45"/>
      <c r="D925" s="45"/>
      <c r="E925" s="76"/>
    </row>
    <row r="926">
      <c r="C926" s="45"/>
      <c r="D926" s="45"/>
      <c r="E926" s="76"/>
    </row>
    <row r="927">
      <c r="C927" s="45"/>
      <c r="D927" s="45"/>
      <c r="E927" s="76"/>
    </row>
    <row r="928">
      <c r="C928" s="45"/>
      <c r="D928" s="45"/>
      <c r="E928" s="76"/>
    </row>
    <row r="929">
      <c r="C929" s="45"/>
      <c r="D929" s="45"/>
      <c r="E929" s="76"/>
    </row>
    <row r="930">
      <c r="C930" s="45"/>
      <c r="D930" s="45"/>
      <c r="E930" s="76"/>
    </row>
    <row r="931">
      <c r="C931" s="45"/>
      <c r="D931" s="45"/>
      <c r="E931" s="76"/>
    </row>
    <row r="932">
      <c r="C932" s="45"/>
      <c r="D932" s="45"/>
      <c r="E932" s="76"/>
    </row>
    <row r="933">
      <c r="C933" s="45"/>
      <c r="D933" s="45"/>
      <c r="E933" s="76"/>
    </row>
    <row r="934">
      <c r="C934" s="45"/>
      <c r="D934" s="45"/>
      <c r="E934" s="76"/>
    </row>
    <row r="935">
      <c r="C935" s="45"/>
      <c r="D935" s="45"/>
      <c r="E935" s="76"/>
    </row>
    <row r="936">
      <c r="C936" s="45"/>
      <c r="D936" s="45"/>
      <c r="E936" s="76"/>
    </row>
    <row r="937">
      <c r="C937" s="45"/>
      <c r="D937" s="45"/>
      <c r="E937" s="76"/>
    </row>
    <row r="938">
      <c r="C938" s="45"/>
      <c r="D938" s="45"/>
      <c r="E938" s="76"/>
    </row>
    <row r="939">
      <c r="C939" s="45"/>
      <c r="D939" s="45"/>
      <c r="E939" s="76"/>
    </row>
    <row r="940">
      <c r="C940" s="45"/>
      <c r="D940" s="45"/>
      <c r="E940" s="76"/>
    </row>
    <row r="941">
      <c r="C941" s="45"/>
      <c r="D941" s="45"/>
      <c r="E941" s="76"/>
    </row>
    <row r="942">
      <c r="C942" s="45"/>
      <c r="D942" s="45"/>
      <c r="E942" s="76"/>
    </row>
    <row r="943">
      <c r="C943" s="45"/>
      <c r="D943" s="45"/>
      <c r="E943" s="76"/>
    </row>
    <row r="944">
      <c r="C944" s="45"/>
      <c r="D944" s="45"/>
      <c r="E944" s="76"/>
    </row>
    <row r="945">
      <c r="C945" s="45"/>
      <c r="D945" s="45"/>
      <c r="E945" s="76"/>
    </row>
    <row r="946">
      <c r="C946" s="45"/>
      <c r="D946" s="45"/>
      <c r="E946" s="76"/>
    </row>
    <row r="947">
      <c r="C947" s="45"/>
      <c r="D947" s="45"/>
      <c r="E947" s="76"/>
    </row>
    <row r="948">
      <c r="C948" s="45"/>
      <c r="D948" s="45"/>
      <c r="E948" s="76"/>
    </row>
    <row r="949">
      <c r="C949" s="45"/>
      <c r="D949" s="45"/>
      <c r="E949" s="76"/>
    </row>
    <row r="950">
      <c r="C950" s="45"/>
      <c r="D950" s="45"/>
      <c r="E950" s="76"/>
    </row>
    <row r="951">
      <c r="C951" s="45"/>
      <c r="D951" s="45"/>
      <c r="E951" s="76"/>
    </row>
    <row r="952">
      <c r="C952" s="45"/>
      <c r="D952" s="45"/>
      <c r="E952" s="76"/>
    </row>
    <row r="953">
      <c r="C953" s="45"/>
      <c r="D953" s="45"/>
      <c r="E953" s="76"/>
    </row>
    <row r="954">
      <c r="C954" s="45"/>
      <c r="D954" s="45"/>
      <c r="E954" s="76"/>
    </row>
    <row r="955">
      <c r="C955" s="45"/>
      <c r="D955" s="45"/>
      <c r="E955" s="76"/>
    </row>
    <row r="956">
      <c r="C956" s="45"/>
      <c r="D956" s="45"/>
      <c r="E956" s="76"/>
    </row>
    <row r="957">
      <c r="C957" s="45"/>
      <c r="D957" s="45"/>
      <c r="E957" s="76"/>
    </row>
    <row r="958">
      <c r="C958" s="45"/>
      <c r="D958" s="45"/>
      <c r="E958" s="76"/>
    </row>
    <row r="959">
      <c r="C959" s="45"/>
      <c r="D959" s="45"/>
      <c r="E959" s="76"/>
    </row>
    <row r="960">
      <c r="C960" s="45"/>
      <c r="D960" s="45"/>
      <c r="E960" s="76"/>
    </row>
    <row r="961">
      <c r="C961" s="45"/>
      <c r="D961" s="45"/>
      <c r="E961" s="76"/>
    </row>
    <row r="962">
      <c r="C962" s="45"/>
      <c r="D962" s="45"/>
      <c r="E962" s="76"/>
    </row>
    <row r="963">
      <c r="C963" s="45"/>
      <c r="D963" s="45"/>
      <c r="E963" s="76"/>
    </row>
    <row r="964">
      <c r="C964" s="45"/>
      <c r="D964" s="45"/>
      <c r="E964" s="76"/>
    </row>
    <row r="965">
      <c r="C965" s="45"/>
      <c r="D965" s="45"/>
      <c r="E965" s="76"/>
    </row>
    <row r="966">
      <c r="C966" s="45"/>
      <c r="D966" s="45"/>
      <c r="E966" s="76"/>
    </row>
    <row r="967">
      <c r="C967" s="45"/>
      <c r="D967" s="45"/>
      <c r="E967" s="76"/>
    </row>
    <row r="968">
      <c r="C968" s="45"/>
      <c r="D968" s="45"/>
      <c r="E968" s="76"/>
    </row>
    <row r="969">
      <c r="C969" s="45"/>
      <c r="D969" s="45"/>
      <c r="E969" s="76"/>
    </row>
    <row r="970">
      <c r="C970" s="45"/>
      <c r="D970" s="45"/>
      <c r="E970" s="76"/>
    </row>
    <row r="971">
      <c r="C971" s="45"/>
      <c r="D971" s="45"/>
      <c r="E971" s="76"/>
    </row>
    <row r="972">
      <c r="C972" s="45"/>
      <c r="D972" s="45"/>
      <c r="E972" s="76"/>
    </row>
    <row r="973">
      <c r="C973" s="45"/>
      <c r="D973" s="45"/>
      <c r="E973" s="76"/>
    </row>
    <row r="974">
      <c r="C974" s="45"/>
      <c r="D974" s="45"/>
      <c r="E974" s="76"/>
    </row>
    <row r="975">
      <c r="C975" s="45"/>
      <c r="D975" s="45"/>
      <c r="E975" s="76"/>
    </row>
    <row r="976">
      <c r="C976" s="45"/>
      <c r="D976" s="45"/>
      <c r="E976" s="76"/>
    </row>
    <row r="977">
      <c r="C977" s="45"/>
      <c r="D977" s="45"/>
      <c r="E977" s="76"/>
    </row>
    <row r="978">
      <c r="C978" s="45"/>
      <c r="D978" s="45"/>
      <c r="E978" s="76"/>
    </row>
    <row r="979">
      <c r="C979" s="45"/>
      <c r="D979" s="45"/>
      <c r="E979" s="76"/>
    </row>
    <row r="980">
      <c r="C980" s="45"/>
      <c r="D980" s="45"/>
      <c r="E980" s="76"/>
    </row>
    <row r="981">
      <c r="C981" s="45"/>
      <c r="D981" s="45"/>
      <c r="E981" s="76"/>
    </row>
    <row r="982">
      <c r="C982" s="45"/>
      <c r="D982" s="45"/>
      <c r="E982" s="76"/>
    </row>
    <row r="983">
      <c r="C983" s="45"/>
      <c r="D983" s="45"/>
      <c r="E983" s="76"/>
    </row>
    <row r="984">
      <c r="C984" s="45"/>
      <c r="D984" s="45"/>
      <c r="E984" s="76"/>
    </row>
    <row r="985">
      <c r="C985" s="45"/>
      <c r="D985" s="45"/>
      <c r="E985" s="76"/>
    </row>
    <row r="986">
      <c r="C986" s="45"/>
      <c r="D986" s="45"/>
      <c r="E986" s="76"/>
    </row>
    <row r="987">
      <c r="C987" s="45"/>
      <c r="D987" s="45"/>
      <c r="E987" s="76"/>
    </row>
    <row r="988">
      <c r="C988" s="45"/>
      <c r="D988" s="45"/>
      <c r="E988" s="76"/>
    </row>
    <row r="989">
      <c r="C989" s="45"/>
      <c r="D989" s="45"/>
      <c r="E989" s="76"/>
    </row>
    <row r="990">
      <c r="C990" s="45"/>
      <c r="D990" s="45"/>
      <c r="E990" s="76"/>
    </row>
    <row r="991">
      <c r="C991" s="45"/>
      <c r="D991" s="45"/>
      <c r="E991" s="76"/>
    </row>
    <row r="992">
      <c r="C992" s="45"/>
      <c r="D992" s="45"/>
      <c r="E992" s="76"/>
    </row>
    <row r="993">
      <c r="C993" s="45"/>
      <c r="D993" s="45"/>
      <c r="E993" s="76"/>
    </row>
    <row r="994">
      <c r="C994" s="45"/>
      <c r="D994" s="45"/>
      <c r="E994" s="76"/>
    </row>
    <row r="995">
      <c r="C995" s="45"/>
      <c r="D995" s="45"/>
      <c r="E995" s="76"/>
    </row>
    <row r="996">
      <c r="C996" s="45"/>
      <c r="D996" s="45"/>
      <c r="E996" s="76"/>
    </row>
    <row r="997">
      <c r="C997" s="45"/>
      <c r="D997" s="45"/>
      <c r="E997" s="76"/>
    </row>
    <row r="998">
      <c r="C998" s="45"/>
      <c r="D998" s="45"/>
      <c r="E998" s="76"/>
    </row>
    <row r="999">
      <c r="C999" s="45"/>
      <c r="D999" s="45"/>
      <c r="E999" s="76"/>
    </row>
    <row r="1000">
      <c r="C1000" s="45"/>
      <c r="D1000" s="45"/>
      <c r="E1000" s="76"/>
    </row>
    <row r="1001">
      <c r="C1001" s="45"/>
      <c r="D1001" s="45"/>
      <c r="E1001" s="76"/>
    </row>
    <row r="1002">
      <c r="C1002" s="45"/>
      <c r="D1002" s="45"/>
      <c r="E1002" s="76"/>
    </row>
    <row r="1003">
      <c r="C1003" s="45"/>
      <c r="D1003" s="45"/>
      <c r="E1003" s="76"/>
    </row>
    <row r="1004">
      <c r="C1004" s="45"/>
      <c r="D1004" s="45"/>
      <c r="E1004" s="76"/>
    </row>
    <row r="1005">
      <c r="C1005" s="45"/>
      <c r="D1005" s="45"/>
      <c r="E1005" s="76"/>
    </row>
    <row r="1006">
      <c r="C1006" s="45"/>
      <c r="D1006" s="45"/>
      <c r="E1006" s="76"/>
    </row>
    <row r="1007">
      <c r="C1007" s="45"/>
      <c r="D1007" s="45"/>
      <c r="E1007" s="76"/>
    </row>
    <row r="1008">
      <c r="C1008" s="45"/>
      <c r="D1008" s="45"/>
      <c r="E1008" s="76"/>
    </row>
    <row r="1009">
      <c r="C1009" s="45"/>
      <c r="D1009" s="45"/>
      <c r="E1009" s="76"/>
    </row>
    <row r="1010">
      <c r="C1010" s="45"/>
      <c r="D1010" s="45"/>
      <c r="E1010" s="76"/>
    </row>
    <row r="1011">
      <c r="C1011" s="45"/>
      <c r="D1011" s="45"/>
      <c r="E1011" s="76"/>
    </row>
    <row r="1012">
      <c r="C1012" s="45"/>
      <c r="D1012" s="45"/>
      <c r="E1012" s="76"/>
    </row>
    <row r="1013">
      <c r="C1013" s="45"/>
      <c r="D1013" s="45"/>
      <c r="E1013" s="76"/>
    </row>
    <row r="1014">
      <c r="C1014" s="45"/>
      <c r="D1014" s="45"/>
      <c r="E1014" s="76"/>
    </row>
  </sheetData>
  <mergeCells count="2">
    <mergeCell ref="B2:D2"/>
    <mergeCell ref="B4:D1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34.14"/>
    <col customWidth="1" min="3" max="3" width="32.71"/>
    <col customWidth="1" min="4" max="4" width="34.29"/>
    <col customWidth="1" min="9" max="9" width="29.57"/>
    <col customWidth="1" min="10" max="10" width="29.0"/>
    <col customWidth="1" min="13" max="13" width="26.86"/>
  </cols>
  <sheetData>
    <row r="1">
      <c r="A1" s="48"/>
      <c r="B1" s="42"/>
      <c r="C1" s="42"/>
      <c r="D1" s="42"/>
      <c r="I1" s="45"/>
      <c r="J1" s="77"/>
    </row>
    <row r="2">
      <c r="A2" s="48"/>
      <c r="B2" s="47" t="s">
        <v>192</v>
      </c>
      <c r="I2" s="45"/>
      <c r="J2" s="77"/>
    </row>
    <row r="3">
      <c r="A3" s="48"/>
      <c r="B3" s="42"/>
      <c r="C3" s="42"/>
      <c r="D3" s="42"/>
      <c r="I3" s="45"/>
      <c r="J3" s="77"/>
    </row>
    <row r="4">
      <c r="A4" s="48"/>
      <c r="B4" s="70" t="s">
        <v>193</v>
      </c>
      <c r="I4" s="45"/>
      <c r="J4" s="77"/>
    </row>
    <row r="5" ht="40.5" customHeight="1">
      <c r="A5" s="48"/>
      <c r="I5" s="45"/>
      <c r="J5" s="77"/>
    </row>
    <row r="6" ht="7.5" customHeight="1">
      <c r="A6" s="48"/>
      <c r="I6" s="45"/>
      <c r="J6" s="77"/>
    </row>
    <row r="7">
      <c r="A7" s="48"/>
      <c r="B7" s="42"/>
      <c r="C7" s="42"/>
      <c r="D7" s="42"/>
      <c r="I7" s="45"/>
      <c r="J7" s="77"/>
    </row>
    <row r="8">
      <c r="A8" s="42"/>
      <c r="B8" s="42"/>
      <c r="C8" s="42"/>
      <c r="D8" s="42"/>
    </row>
    <row r="9">
      <c r="A9" s="46"/>
      <c r="B9" s="9" t="s">
        <v>0</v>
      </c>
      <c r="C9" s="9" t="s">
        <v>194</v>
      </c>
      <c r="D9" s="9" t="s">
        <v>195</v>
      </c>
    </row>
    <row r="10">
      <c r="A10" s="48"/>
      <c r="B10" s="53">
        <v>31412.0</v>
      </c>
      <c r="C10" s="78">
        <v>2.09</v>
      </c>
      <c r="D10" s="54">
        <f t="shared" ref="D10:D165" si="1">ROUND((1+C10/100)^4-1, 3)</f>
        <v>0.086</v>
      </c>
    </row>
    <row r="11">
      <c r="A11" s="48"/>
      <c r="B11" s="55">
        <v>31502.0</v>
      </c>
      <c r="C11" s="78">
        <v>2.02</v>
      </c>
      <c r="D11" s="54">
        <f t="shared" si="1"/>
        <v>0.083</v>
      </c>
    </row>
    <row r="12">
      <c r="A12" s="48"/>
      <c r="B12" s="55">
        <v>31593.0</v>
      </c>
      <c r="C12" s="78">
        <v>1.95</v>
      </c>
      <c r="D12" s="54">
        <f t="shared" si="1"/>
        <v>0.08</v>
      </c>
    </row>
    <row r="13">
      <c r="A13" s="48"/>
      <c r="B13" s="55">
        <v>31685.0</v>
      </c>
      <c r="C13" s="78">
        <v>1.9</v>
      </c>
      <c r="D13" s="54">
        <f t="shared" si="1"/>
        <v>0.078</v>
      </c>
    </row>
    <row r="14">
      <c r="A14" s="48"/>
      <c r="B14" s="53">
        <v>31777.0</v>
      </c>
      <c r="C14" s="78">
        <v>1.93</v>
      </c>
      <c r="D14" s="54">
        <f t="shared" si="1"/>
        <v>0.079</v>
      </c>
    </row>
    <row r="15">
      <c r="A15" s="48"/>
      <c r="B15" s="55">
        <v>31867.0</v>
      </c>
      <c r="C15" s="78">
        <v>1.82</v>
      </c>
      <c r="D15" s="54">
        <f t="shared" si="1"/>
        <v>0.075</v>
      </c>
    </row>
    <row r="16">
      <c r="A16" s="48"/>
      <c r="B16" s="55">
        <v>31958.0</v>
      </c>
      <c r="C16" s="78">
        <v>1.77</v>
      </c>
      <c r="D16" s="54">
        <f t="shared" si="1"/>
        <v>0.073</v>
      </c>
    </row>
    <row r="17">
      <c r="A17" s="48"/>
      <c r="B17" s="55">
        <v>32050.0</v>
      </c>
      <c r="C17" s="78">
        <v>1.68</v>
      </c>
      <c r="D17" s="54">
        <f t="shared" si="1"/>
        <v>0.069</v>
      </c>
    </row>
    <row r="18">
      <c r="A18" s="48"/>
      <c r="B18" s="53">
        <v>32142.0</v>
      </c>
      <c r="C18" s="78">
        <v>1.68</v>
      </c>
      <c r="D18" s="54">
        <f t="shared" si="1"/>
        <v>0.069</v>
      </c>
    </row>
    <row r="19">
      <c r="A19" s="48"/>
      <c r="B19" s="55">
        <v>32233.0</v>
      </c>
      <c r="C19" s="78">
        <v>1.8</v>
      </c>
      <c r="D19" s="54">
        <f t="shared" si="1"/>
        <v>0.074</v>
      </c>
    </row>
    <row r="20">
      <c r="A20" s="48"/>
      <c r="B20" s="55">
        <v>32324.0</v>
      </c>
      <c r="C20" s="78">
        <v>1.87</v>
      </c>
      <c r="D20" s="54">
        <f t="shared" si="1"/>
        <v>0.077</v>
      </c>
    </row>
    <row r="21">
      <c r="A21" s="48"/>
      <c r="B21" s="55">
        <v>32416.0</v>
      </c>
      <c r="C21" s="78">
        <v>1.91</v>
      </c>
      <c r="D21" s="54">
        <f t="shared" si="1"/>
        <v>0.079</v>
      </c>
    </row>
    <row r="22">
      <c r="A22" s="48"/>
      <c r="B22" s="53">
        <v>32508.0</v>
      </c>
      <c r="C22" s="78">
        <v>2.0</v>
      </c>
      <c r="D22" s="54">
        <f t="shared" si="1"/>
        <v>0.082</v>
      </c>
    </row>
    <row r="23">
      <c r="A23" s="48"/>
      <c r="B23" s="55">
        <v>32598.0</v>
      </c>
      <c r="C23" s="78">
        <v>2.18</v>
      </c>
      <c r="D23" s="54">
        <f t="shared" si="1"/>
        <v>0.09</v>
      </c>
    </row>
    <row r="24">
      <c r="A24" s="48"/>
      <c r="B24" s="55">
        <v>32689.0</v>
      </c>
      <c r="C24" s="78">
        <v>2.43</v>
      </c>
      <c r="D24" s="54">
        <f t="shared" si="1"/>
        <v>0.101</v>
      </c>
    </row>
    <row r="25">
      <c r="A25" s="48"/>
      <c r="B25" s="55">
        <v>32781.0</v>
      </c>
      <c r="C25" s="78">
        <v>2.58</v>
      </c>
      <c r="D25" s="54">
        <f t="shared" si="1"/>
        <v>0.107</v>
      </c>
    </row>
    <row r="26">
      <c r="A26" s="48"/>
      <c r="B26" s="53">
        <v>32873.0</v>
      </c>
      <c r="C26" s="78">
        <v>2.66</v>
      </c>
      <c r="D26" s="54">
        <f t="shared" si="1"/>
        <v>0.111</v>
      </c>
      <c r="G26" s="79"/>
    </row>
    <row r="27">
      <c r="A27" s="48"/>
      <c r="B27" s="55">
        <v>32963.0</v>
      </c>
      <c r="C27" s="78">
        <v>2.83</v>
      </c>
      <c r="D27" s="54">
        <f t="shared" si="1"/>
        <v>0.118</v>
      </c>
      <c r="G27" s="80"/>
    </row>
    <row r="28">
      <c r="A28" s="48"/>
      <c r="B28" s="55">
        <v>33054.0</v>
      </c>
      <c r="C28" s="78">
        <v>2.94</v>
      </c>
      <c r="D28" s="54">
        <f t="shared" si="1"/>
        <v>0.123</v>
      </c>
      <c r="G28" s="80"/>
    </row>
    <row r="29">
      <c r="A29" s="48"/>
      <c r="B29" s="55">
        <v>33146.0</v>
      </c>
      <c r="C29" s="78">
        <v>3.09</v>
      </c>
      <c r="D29" s="54">
        <f t="shared" si="1"/>
        <v>0.129</v>
      </c>
      <c r="G29" s="80"/>
    </row>
    <row r="30">
      <c r="A30" s="48"/>
      <c r="B30" s="53">
        <v>33238.0</v>
      </c>
      <c r="C30" s="78">
        <v>3.27</v>
      </c>
      <c r="D30" s="54">
        <f t="shared" si="1"/>
        <v>0.137</v>
      </c>
      <c r="G30" s="80"/>
    </row>
    <row r="31">
      <c r="A31" s="48"/>
      <c r="B31" s="55">
        <v>33328.0</v>
      </c>
      <c r="C31" s="78">
        <v>3.36</v>
      </c>
      <c r="D31" s="54">
        <f t="shared" si="1"/>
        <v>0.141</v>
      </c>
      <c r="G31" s="80"/>
    </row>
    <row r="32">
      <c r="A32" s="48"/>
      <c r="B32" s="55">
        <v>33419.0</v>
      </c>
      <c r="C32" s="78">
        <v>3.3</v>
      </c>
      <c r="D32" s="54">
        <f t="shared" si="1"/>
        <v>0.139</v>
      </c>
      <c r="G32" s="80"/>
    </row>
    <row r="33">
      <c r="A33" s="48"/>
      <c r="B33" s="55">
        <v>33511.0</v>
      </c>
      <c r="C33" s="78">
        <v>3.31</v>
      </c>
      <c r="D33" s="54">
        <f t="shared" si="1"/>
        <v>0.139</v>
      </c>
      <c r="G33" s="80"/>
    </row>
    <row r="34">
      <c r="A34" s="48"/>
      <c r="B34" s="53">
        <v>33603.0</v>
      </c>
      <c r="C34" s="78">
        <v>3.21</v>
      </c>
      <c r="D34" s="54">
        <f t="shared" si="1"/>
        <v>0.135</v>
      </c>
      <c r="G34" s="80"/>
      <c r="H34" s="81"/>
    </row>
    <row r="35">
      <c r="A35" s="48"/>
      <c r="B35" s="55">
        <v>33694.0</v>
      </c>
      <c r="C35" s="78">
        <v>3.04</v>
      </c>
      <c r="D35" s="54">
        <f t="shared" si="1"/>
        <v>0.127</v>
      </c>
      <c r="G35" s="80"/>
      <c r="H35" s="82"/>
      <c r="M35" s="81"/>
    </row>
    <row r="36">
      <c r="A36" s="48"/>
      <c r="B36" s="55">
        <v>33785.0</v>
      </c>
      <c r="C36" s="78">
        <v>2.86</v>
      </c>
      <c r="D36" s="54">
        <f t="shared" si="1"/>
        <v>0.119</v>
      </c>
      <c r="G36" s="80"/>
      <c r="M36" s="82"/>
    </row>
    <row r="37">
      <c r="A37" s="48"/>
      <c r="B37" s="55">
        <v>33877.0</v>
      </c>
      <c r="C37" s="78">
        <v>2.63</v>
      </c>
      <c r="D37" s="54">
        <f t="shared" si="1"/>
        <v>0.109</v>
      </c>
      <c r="G37" s="80"/>
    </row>
    <row r="38">
      <c r="A38" s="48"/>
      <c r="B38" s="53">
        <v>33969.0</v>
      </c>
      <c r="C38" s="78">
        <v>2.58</v>
      </c>
      <c r="D38" s="54">
        <f t="shared" si="1"/>
        <v>0.107</v>
      </c>
      <c r="G38" s="80"/>
    </row>
    <row r="39">
      <c r="A39" s="48"/>
      <c r="B39" s="55">
        <v>34059.0</v>
      </c>
      <c r="C39" s="78">
        <v>2.6</v>
      </c>
      <c r="D39" s="54">
        <f t="shared" si="1"/>
        <v>0.108</v>
      </c>
      <c r="G39" s="80"/>
    </row>
    <row r="40">
      <c r="A40" s="48"/>
      <c r="B40" s="55">
        <v>34150.0</v>
      </c>
      <c r="C40" s="78">
        <v>2.37</v>
      </c>
      <c r="D40" s="54">
        <f t="shared" si="1"/>
        <v>0.098</v>
      </c>
      <c r="G40" s="80"/>
    </row>
    <row r="41">
      <c r="A41" s="48"/>
      <c r="B41" s="55">
        <v>34242.0</v>
      </c>
      <c r="C41" s="78">
        <v>2.03</v>
      </c>
      <c r="D41" s="54">
        <f t="shared" si="1"/>
        <v>0.084</v>
      </c>
      <c r="G41" s="80"/>
    </row>
    <row r="42">
      <c r="A42" s="48"/>
      <c r="B42" s="53">
        <v>34334.0</v>
      </c>
      <c r="C42" s="78">
        <v>1.84</v>
      </c>
      <c r="D42" s="54">
        <f t="shared" si="1"/>
        <v>0.076</v>
      </c>
      <c r="G42" s="80"/>
    </row>
    <row r="43">
      <c r="A43" s="48"/>
      <c r="B43" s="55">
        <v>34424.0</v>
      </c>
      <c r="C43" s="78">
        <v>1.56</v>
      </c>
      <c r="D43" s="54">
        <f t="shared" si="1"/>
        <v>0.064</v>
      </c>
      <c r="G43" s="80"/>
    </row>
    <row r="44">
      <c r="A44" s="48"/>
      <c r="B44" s="55">
        <v>34515.0</v>
      </c>
      <c r="C44" s="78">
        <v>1.44</v>
      </c>
      <c r="D44" s="54">
        <f t="shared" si="1"/>
        <v>0.059</v>
      </c>
      <c r="G44" s="80"/>
    </row>
    <row r="45">
      <c r="A45" s="48"/>
      <c r="B45" s="55">
        <v>34607.0</v>
      </c>
      <c r="C45" s="78">
        <v>1.33</v>
      </c>
      <c r="D45" s="54">
        <f t="shared" si="1"/>
        <v>0.054</v>
      </c>
      <c r="G45" s="80"/>
    </row>
    <row r="46">
      <c r="A46" s="48"/>
      <c r="B46" s="53">
        <v>34699.0</v>
      </c>
      <c r="C46" s="78">
        <v>1.3</v>
      </c>
      <c r="D46" s="54">
        <f t="shared" si="1"/>
        <v>0.053</v>
      </c>
      <c r="G46" s="80"/>
    </row>
    <row r="47">
      <c r="A47" s="48"/>
      <c r="B47" s="55">
        <v>34789.0</v>
      </c>
      <c r="C47" s="78">
        <v>1.31</v>
      </c>
      <c r="D47" s="54">
        <f t="shared" si="1"/>
        <v>0.053</v>
      </c>
      <c r="G47" s="80"/>
    </row>
    <row r="48">
      <c r="A48" s="48"/>
      <c r="B48" s="55">
        <v>34880.0</v>
      </c>
      <c r="C48" s="78">
        <v>1.4</v>
      </c>
      <c r="D48" s="54">
        <f t="shared" si="1"/>
        <v>0.057</v>
      </c>
      <c r="G48" s="80"/>
    </row>
    <row r="49">
      <c r="A49" s="48"/>
      <c r="B49" s="55">
        <v>34972.0</v>
      </c>
      <c r="C49" s="78">
        <v>1.49</v>
      </c>
      <c r="D49" s="54">
        <f t="shared" si="1"/>
        <v>0.061</v>
      </c>
      <c r="G49" s="80"/>
    </row>
    <row r="50">
      <c r="A50" s="48"/>
      <c r="B50" s="53">
        <v>35064.0</v>
      </c>
      <c r="C50" s="78">
        <v>1.37</v>
      </c>
      <c r="D50" s="54">
        <f t="shared" si="1"/>
        <v>0.056</v>
      </c>
      <c r="G50" s="80"/>
    </row>
    <row r="51">
      <c r="A51" s="48"/>
      <c r="B51" s="55">
        <v>35155.0</v>
      </c>
      <c r="C51" s="78">
        <v>1.18</v>
      </c>
      <c r="D51" s="54">
        <f t="shared" si="1"/>
        <v>0.048</v>
      </c>
      <c r="G51" s="80"/>
    </row>
    <row r="52">
      <c r="A52" s="48"/>
      <c r="B52" s="55">
        <v>35246.0</v>
      </c>
      <c r="C52" s="78">
        <v>1.21</v>
      </c>
      <c r="D52" s="54">
        <f t="shared" si="1"/>
        <v>0.049</v>
      </c>
      <c r="G52" s="80"/>
    </row>
    <row r="53">
      <c r="A53" s="48"/>
      <c r="B53" s="55">
        <v>35338.0</v>
      </c>
      <c r="C53" s="78">
        <v>1.53</v>
      </c>
      <c r="D53" s="54">
        <f t="shared" si="1"/>
        <v>0.063</v>
      </c>
      <c r="G53" s="80"/>
    </row>
    <row r="54">
      <c r="A54" s="48"/>
      <c r="B54" s="53">
        <v>35430.0</v>
      </c>
      <c r="C54" s="78">
        <v>1.56</v>
      </c>
      <c r="D54" s="54">
        <f t="shared" si="1"/>
        <v>0.064</v>
      </c>
      <c r="G54" s="80"/>
    </row>
    <row r="55">
      <c r="A55" s="48"/>
      <c r="B55" s="55">
        <v>35520.0</v>
      </c>
      <c r="C55" s="78">
        <v>1.6</v>
      </c>
      <c r="D55" s="54">
        <f t="shared" si="1"/>
        <v>0.066</v>
      </c>
      <c r="G55" s="80"/>
    </row>
    <row r="56">
      <c r="A56" s="48"/>
      <c r="B56" s="55">
        <v>35611.0</v>
      </c>
      <c r="C56" s="78">
        <v>1.67</v>
      </c>
      <c r="D56" s="54">
        <f t="shared" si="1"/>
        <v>0.068</v>
      </c>
      <c r="G56" s="80"/>
    </row>
    <row r="57">
      <c r="A57" s="48"/>
      <c r="B57" s="55">
        <v>35703.0</v>
      </c>
      <c r="C57" s="78">
        <v>1.74</v>
      </c>
      <c r="D57" s="54">
        <f t="shared" si="1"/>
        <v>0.071</v>
      </c>
      <c r="G57" s="80"/>
    </row>
    <row r="58">
      <c r="A58" s="48"/>
      <c r="B58" s="53">
        <v>35795.0</v>
      </c>
      <c r="C58" s="78">
        <v>1.86</v>
      </c>
      <c r="D58" s="54">
        <f t="shared" si="1"/>
        <v>0.077</v>
      </c>
      <c r="G58" s="80"/>
    </row>
    <row r="59">
      <c r="A59" s="48"/>
      <c r="B59" s="55">
        <v>35885.0</v>
      </c>
      <c r="C59" s="78">
        <v>2.03</v>
      </c>
      <c r="D59" s="54">
        <f t="shared" si="1"/>
        <v>0.084</v>
      </c>
      <c r="G59" s="80"/>
    </row>
    <row r="60">
      <c r="A60" s="48"/>
      <c r="B60" s="55">
        <v>35976.0</v>
      </c>
      <c r="C60" s="78">
        <v>2.07</v>
      </c>
      <c r="D60" s="54">
        <f t="shared" si="1"/>
        <v>0.085</v>
      </c>
      <c r="G60" s="80"/>
    </row>
    <row r="61">
      <c r="A61" s="48"/>
      <c r="B61" s="55">
        <v>36068.0</v>
      </c>
      <c r="C61" s="78">
        <v>2.26</v>
      </c>
      <c r="D61" s="54">
        <f t="shared" si="1"/>
        <v>0.094</v>
      </c>
      <c r="G61" s="80"/>
    </row>
    <row r="62">
      <c r="A62" s="48"/>
      <c r="B62" s="53">
        <v>36160.0</v>
      </c>
      <c r="C62" s="78">
        <v>2.65</v>
      </c>
      <c r="D62" s="54">
        <f t="shared" si="1"/>
        <v>0.11</v>
      </c>
      <c r="G62" s="80"/>
    </row>
    <row r="63">
      <c r="A63" s="48"/>
      <c r="B63" s="55">
        <v>36250.0</v>
      </c>
      <c r="C63" s="78">
        <v>2.85</v>
      </c>
      <c r="D63" s="54">
        <f t="shared" si="1"/>
        <v>0.119</v>
      </c>
      <c r="G63" s="80"/>
    </row>
    <row r="64">
      <c r="A64" s="48"/>
      <c r="B64" s="55">
        <v>36341.0</v>
      </c>
      <c r="C64" s="78">
        <v>2.87</v>
      </c>
      <c r="D64" s="54">
        <f t="shared" si="1"/>
        <v>0.12</v>
      </c>
      <c r="G64" s="80"/>
    </row>
    <row r="65">
      <c r="A65" s="48"/>
      <c r="B65" s="55">
        <v>36433.0</v>
      </c>
      <c r="C65" s="78">
        <v>2.76</v>
      </c>
      <c r="D65" s="54">
        <f t="shared" si="1"/>
        <v>0.115</v>
      </c>
      <c r="G65" s="80"/>
    </row>
    <row r="66">
      <c r="A66" s="48"/>
      <c r="B66" s="53">
        <v>36525.0</v>
      </c>
      <c r="C66" s="78">
        <v>2.88</v>
      </c>
      <c r="D66" s="54">
        <f t="shared" si="1"/>
        <v>0.12</v>
      </c>
      <c r="G66" s="80"/>
    </row>
    <row r="67">
      <c r="A67" s="48"/>
      <c r="B67" s="55">
        <v>36616.0</v>
      </c>
      <c r="C67" s="78">
        <v>3.02</v>
      </c>
      <c r="D67" s="54">
        <f t="shared" si="1"/>
        <v>0.126</v>
      </c>
      <c r="G67" s="80"/>
    </row>
    <row r="68">
      <c r="A68" s="48"/>
      <c r="B68" s="55">
        <v>36707.0</v>
      </c>
      <c r="C68" s="78">
        <v>3.08</v>
      </c>
      <c r="D68" s="54">
        <f t="shared" si="1"/>
        <v>0.129</v>
      </c>
      <c r="G68" s="80"/>
    </row>
    <row r="69">
      <c r="A69" s="48"/>
      <c r="B69" s="55">
        <v>36799.0</v>
      </c>
      <c r="C69" s="78">
        <v>3.2</v>
      </c>
      <c r="D69" s="54">
        <f t="shared" si="1"/>
        <v>0.134</v>
      </c>
      <c r="G69" s="80"/>
    </row>
    <row r="70">
      <c r="A70" s="48"/>
      <c r="B70" s="53">
        <v>36891.0</v>
      </c>
      <c r="C70" s="78">
        <v>3.32</v>
      </c>
      <c r="D70" s="54">
        <f t="shared" si="1"/>
        <v>0.14</v>
      </c>
      <c r="G70" s="80"/>
    </row>
    <row r="71">
      <c r="A71" s="48"/>
      <c r="B71" s="55">
        <v>36981.0</v>
      </c>
      <c r="C71" s="78">
        <v>3.3</v>
      </c>
      <c r="D71" s="54">
        <f t="shared" si="1"/>
        <v>0.139</v>
      </c>
      <c r="G71" s="80"/>
    </row>
    <row r="72">
      <c r="A72" s="48"/>
      <c r="B72" s="55">
        <v>37072.0</v>
      </c>
      <c r="C72" s="78">
        <v>3.18</v>
      </c>
      <c r="D72" s="54">
        <f t="shared" si="1"/>
        <v>0.133</v>
      </c>
      <c r="G72" s="80"/>
    </row>
    <row r="73">
      <c r="A73" s="48"/>
      <c r="B73" s="55">
        <v>37164.0</v>
      </c>
      <c r="C73" s="78">
        <v>3.25</v>
      </c>
      <c r="D73" s="54">
        <f t="shared" si="1"/>
        <v>0.136</v>
      </c>
      <c r="G73" s="80"/>
    </row>
    <row r="74">
      <c r="A74" s="48"/>
      <c r="B74" s="53">
        <v>37256.0</v>
      </c>
      <c r="C74" s="78">
        <v>3.12</v>
      </c>
      <c r="D74" s="54">
        <f t="shared" si="1"/>
        <v>0.131</v>
      </c>
      <c r="G74" s="80"/>
    </row>
    <row r="75">
      <c r="A75" s="48"/>
      <c r="B75" s="55">
        <v>37346.0</v>
      </c>
      <c r="C75" s="78">
        <v>3.05</v>
      </c>
      <c r="D75" s="54">
        <f t="shared" si="1"/>
        <v>0.128</v>
      </c>
      <c r="G75" s="80"/>
    </row>
    <row r="76">
      <c r="A76" s="48"/>
      <c r="B76" s="55">
        <v>37437.0</v>
      </c>
      <c r="C76" s="78">
        <v>3.03</v>
      </c>
      <c r="D76" s="54">
        <f t="shared" si="1"/>
        <v>0.127</v>
      </c>
      <c r="G76" s="80"/>
    </row>
    <row r="77">
      <c r="A77" s="48"/>
      <c r="B77" s="55">
        <v>37529.0</v>
      </c>
      <c r="C77" s="78">
        <v>3.06</v>
      </c>
      <c r="D77" s="54">
        <f t="shared" si="1"/>
        <v>0.128</v>
      </c>
      <c r="G77" s="80"/>
    </row>
    <row r="78">
      <c r="A78" s="48"/>
      <c r="B78" s="53">
        <v>37621.0</v>
      </c>
      <c r="C78" s="78">
        <v>3.06</v>
      </c>
      <c r="D78" s="54">
        <f t="shared" si="1"/>
        <v>0.128</v>
      </c>
      <c r="G78" s="80"/>
    </row>
    <row r="79">
      <c r="A79" s="48"/>
      <c r="B79" s="55">
        <v>37711.0</v>
      </c>
      <c r="C79" s="78">
        <v>3.07</v>
      </c>
      <c r="D79" s="54">
        <f t="shared" si="1"/>
        <v>0.129</v>
      </c>
      <c r="G79" s="80"/>
    </row>
    <row r="80">
      <c r="A80" s="48"/>
      <c r="B80" s="55">
        <v>37802.0</v>
      </c>
      <c r="C80" s="78">
        <v>3.03</v>
      </c>
      <c r="D80" s="54">
        <f t="shared" si="1"/>
        <v>0.127</v>
      </c>
      <c r="G80" s="80"/>
    </row>
    <row r="81">
      <c r="A81" s="48"/>
      <c r="B81" s="55">
        <v>37894.0</v>
      </c>
      <c r="C81" s="78">
        <v>2.94</v>
      </c>
      <c r="D81" s="54">
        <f t="shared" si="1"/>
        <v>0.123</v>
      </c>
      <c r="G81" s="80"/>
    </row>
    <row r="82">
      <c r="A82" s="48"/>
      <c r="B82" s="53">
        <v>37986.0</v>
      </c>
      <c r="C82" s="78">
        <v>2.82</v>
      </c>
      <c r="D82" s="54">
        <f t="shared" si="1"/>
        <v>0.118</v>
      </c>
      <c r="G82" s="80"/>
    </row>
    <row r="83">
      <c r="A83" s="48"/>
      <c r="B83" s="55">
        <v>38077.0</v>
      </c>
      <c r="C83" s="78">
        <v>2.9</v>
      </c>
      <c r="D83" s="54">
        <f t="shared" si="1"/>
        <v>0.121</v>
      </c>
      <c r="G83" s="80"/>
    </row>
    <row r="84">
      <c r="A84" s="48"/>
      <c r="B84" s="55">
        <v>38168.0</v>
      </c>
      <c r="C84" s="78">
        <v>2.87</v>
      </c>
      <c r="D84" s="54">
        <f t="shared" si="1"/>
        <v>0.12</v>
      </c>
      <c r="G84" s="80"/>
    </row>
    <row r="85">
      <c r="A85" s="48"/>
      <c r="B85" s="55">
        <v>38260.0</v>
      </c>
      <c r="C85" s="78">
        <v>2.72</v>
      </c>
      <c r="D85" s="54">
        <f t="shared" si="1"/>
        <v>0.113</v>
      </c>
      <c r="G85" s="80"/>
    </row>
    <row r="86">
      <c r="A86" s="48"/>
      <c r="B86" s="53">
        <v>38352.0</v>
      </c>
      <c r="C86" s="78">
        <v>2.75</v>
      </c>
      <c r="D86" s="54">
        <f t="shared" si="1"/>
        <v>0.115</v>
      </c>
      <c r="G86" s="80"/>
    </row>
    <row r="87">
      <c r="A87" s="48"/>
      <c r="B87" s="55">
        <v>38442.0</v>
      </c>
      <c r="C87" s="78">
        <v>2.69</v>
      </c>
      <c r="D87" s="54">
        <f t="shared" si="1"/>
        <v>0.112</v>
      </c>
      <c r="G87" s="80"/>
    </row>
    <row r="88">
      <c r="A88" s="48"/>
      <c r="B88" s="55">
        <v>38533.0</v>
      </c>
      <c r="C88" s="78">
        <v>2.67</v>
      </c>
      <c r="D88" s="54">
        <f t="shared" si="1"/>
        <v>0.111</v>
      </c>
      <c r="G88" s="80"/>
    </row>
    <row r="89">
      <c r="A89" s="48"/>
      <c r="B89" s="55">
        <v>38625.0</v>
      </c>
      <c r="C89" s="78">
        <v>2.58</v>
      </c>
      <c r="D89" s="54">
        <f t="shared" si="1"/>
        <v>0.107</v>
      </c>
      <c r="G89" s="80"/>
    </row>
    <row r="90">
      <c r="A90" s="48"/>
      <c r="B90" s="53">
        <v>38717.0</v>
      </c>
      <c r="C90" s="78">
        <v>2.69</v>
      </c>
      <c r="D90" s="54">
        <f t="shared" si="1"/>
        <v>0.112</v>
      </c>
      <c r="G90" s="80"/>
    </row>
    <row r="91">
      <c r="A91" s="48"/>
      <c r="B91" s="55">
        <v>38807.0</v>
      </c>
      <c r="C91" s="78">
        <v>2.95</v>
      </c>
      <c r="D91" s="54">
        <f t="shared" si="1"/>
        <v>0.123</v>
      </c>
      <c r="G91" s="80"/>
    </row>
    <row r="92">
      <c r="A92" s="48"/>
      <c r="B92" s="55">
        <v>38898.0</v>
      </c>
      <c r="C92" s="78">
        <v>3.05</v>
      </c>
      <c r="D92" s="54">
        <f t="shared" si="1"/>
        <v>0.128</v>
      </c>
      <c r="G92" s="80"/>
    </row>
    <row r="93">
      <c r="A93" s="48"/>
      <c r="B93" s="55">
        <v>38990.0</v>
      </c>
      <c r="C93" s="78">
        <v>3.07</v>
      </c>
      <c r="D93" s="54">
        <f t="shared" si="1"/>
        <v>0.129</v>
      </c>
      <c r="G93" s="80"/>
    </row>
    <row r="94">
      <c r="A94" s="48"/>
      <c r="B94" s="53">
        <v>39082.0</v>
      </c>
      <c r="C94" s="78">
        <v>3.0</v>
      </c>
      <c r="D94" s="54">
        <f t="shared" si="1"/>
        <v>0.126</v>
      </c>
      <c r="G94" s="80"/>
    </row>
    <row r="95">
      <c r="A95" s="48"/>
      <c r="B95" s="55">
        <v>39172.0</v>
      </c>
      <c r="C95" s="78">
        <v>2.98</v>
      </c>
      <c r="D95" s="54">
        <f t="shared" si="1"/>
        <v>0.125</v>
      </c>
      <c r="G95" s="80"/>
    </row>
    <row r="96">
      <c r="A96" s="48"/>
      <c r="B96" s="55">
        <v>39263.0</v>
      </c>
      <c r="C96" s="78">
        <v>3.05</v>
      </c>
      <c r="D96" s="54">
        <f t="shared" si="1"/>
        <v>0.128</v>
      </c>
      <c r="G96" s="80"/>
    </row>
    <row r="97">
      <c r="A97" s="48"/>
      <c r="B97" s="55">
        <v>39355.0</v>
      </c>
      <c r="C97" s="78">
        <v>3.13</v>
      </c>
      <c r="D97" s="54">
        <f t="shared" si="1"/>
        <v>0.131</v>
      </c>
      <c r="G97" s="80"/>
    </row>
    <row r="98">
      <c r="A98" s="48"/>
      <c r="B98" s="53">
        <v>39447.0</v>
      </c>
      <c r="C98" s="78">
        <v>3.2</v>
      </c>
      <c r="D98" s="54">
        <f t="shared" si="1"/>
        <v>0.134</v>
      </c>
      <c r="G98" s="80"/>
    </row>
    <row r="99">
      <c r="A99" s="48"/>
      <c r="B99" s="55">
        <v>39538.0</v>
      </c>
      <c r="C99" s="78">
        <v>3.28</v>
      </c>
      <c r="D99" s="54">
        <f t="shared" si="1"/>
        <v>0.138</v>
      </c>
      <c r="G99" s="80"/>
    </row>
    <row r="100">
      <c r="A100" s="48"/>
      <c r="B100" s="55">
        <v>39629.0</v>
      </c>
      <c r="C100" s="78">
        <v>3.3</v>
      </c>
      <c r="D100" s="54">
        <f t="shared" si="1"/>
        <v>0.139</v>
      </c>
      <c r="G100" s="80"/>
    </row>
    <row r="101">
      <c r="A101" s="48"/>
      <c r="B101" s="55">
        <v>39721.0</v>
      </c>
      <c r="C101" s="78">
        <v>3.41</v>
      </c>
      <c r="D101" s="54">
        <f t="shared" si="1"/>
        <v>0.144</v>
      </c>
      <c r="G101" s="80"/>
    </row>
    <row r="102">
      <c r="A102" s="48"/>
      <c r="B102" s="53">
        <v>39813.0</v>
      </c>
      <c r="C102" s="78">
        <v>3.35</v>
      </c>
      <c r="D102" s="54">
        <f t="shared" si="1"/>
        <v>0.141</v>
      </c>
      <c r="G102" s="80"/>
    </row>
    <row r="103">
      <c r="A103" s="48"/>
      <c r="B103" s="55">
        <v>39903.0</v>
      </c>
      <c r="C103" s="78">
        <v>3.07</v>
      </c>
      <c r="D103" s="54">
        <f t="shared" si="1"/>
        <v>0.129</v>
      </c>
      <c r="G103" s="80"/>
    </row>
    <row r="104">
      <c r="A104" s="48"/>
      <c r="B104" s="55">
        <v>39994.0</v>
      </c>
      <c r="C104" s="78">
        <v>3.07</v>
      </c>
      <c r="D104" s="54">
        <f t="shared" si="1"/>
        <v>0.129</v>
      </c>
      <c r="G104" s="80"/>
    </row>
    <row r="105">
      <c r="A105" s="48"/>
      <c r="B105" s="55">
        <v>40086.0</v>
      </c>
      <c r="C105" s="78">
        <v>3.08</v>
      </c>
      <c r="D105" s="54">
        <f t="shared" si="1"/>
        <v>0.129</v>
      </c>
      <c r="G105" s="80"/>
    </row>
    <row r="106">
      <c r="A106" s="48"/>
      <c r="B106" s="53">
        <v>40178.0</v>
      </c>
      <c r="C106" s="78">
        <v>3.21</v>
      </c>
      <c r="D106" s="54">
        <f t="shared" si="1"/>
        <v>0.135</v>
      </c>
      <c r="G106" s="80"/>
    </row>
    <row r="107">
      <c r="A107" s="48"/>
      <c r="B107" s="55">
        <v>40268.0</v>
      </c>
      <c r="C107" s="78">
        <v>3.32</v>
      </c>
      <c r="D107" s="54">
        <f t="shared" si="1"/>
        <v>0.14</v>
      </c>
      <c r="G107" s="80"/>
    </row>
    <row r="108">
      <c r="A108" s="48"/>
      <c r="B108" s="55">
        <v>40359.0</v>
      </c>
      <c r="C108" s="78">
        <v>3.49</v>
      </c>
      <c r="D108" s="54">
        <f t="shared" si="1"/>
        <v>0.147</v>
      </c>
      <c r="G108" s="80"/>
    </row>
    <row r="109">
      <c r="A109" s="48"/>
      <c r="B109" s="55">
        <v>40451.0</v>
      </c>
      <c r="C109" s="78">
        <v>3.49</v>
      </c>
      <c r="D109" s="54">
        <f t="shared" si="1"/>
        <v>0.147</v>
      </c>
      <c r="G109" s="80"/>
    </row>
    <row r="110">
      <c r="A110" s="48"/>
      <c r="B110" s="53">
        <v>40543.0</v>
      </c>
      <c r="C110" s="78">
        <v>3.41</v>
      </c>
      <c r="D110" s="54">
        <f t="shared" si="1"/>
        <v>0.144</v>
      </c>
      <c r="G110" s="80"/>
    </row>
    <row r="111">
      <c r="A111" s="48"/>
      <c r="B111" s="55">
        <v>40633.0</v>
      </c>
      <c r="C111" s="78">
        <v>3.41</v>
      </c>
      <c r="D111" s="54">
        <f t="shared" si="1"/>
        <v>0.144</v>
      </c>
      <c r="G111" s="80"/>
    </row>
    <row r="112">
      <c r="A112" s="48"/>
      <c r="B112" s="55">
        <v>40724.0</v>
      </c>
      <c r="C112" s="78">
        <v>3.5</v>
      </c>
      <c r="D112" s="54">
        <f t="shared" si="1"/>
        <v>0.148</v>
      </c>
      <c r="G112" s="80"/>
    </row>
    <row r="113">
      <c r="A113" s="48"/>
      <c r="B113" s="55">
        <v>40816.0</v>
      </c>
      <c r="C113" s="78">
        <v>3.59</v>
      </c>
      <c r="D113" s="54">
        <f t="shared" si="1"/>
        <v>0.152</v>
      </c>
      <c r="G113" s="80"/>
    </row>
    <row r="114">
      <c r="A114" s="48"/>
      <c r="B114" s="53">
        <v>40908.0</v>
      </c>
      <c r="C114" s="78">
        <v>3.62</v>
      </c>
      <c r="D114" s="54">
        <f t="shared" si="1"/>
        <v>0.153</v>
      </c>
      <c r="G114" s="80"/>
    </row>
    <row r="115">
      <c r="A115" s="48"/>
      <c r="B115" s="55">
        <v>40999.0</v>
      </c>
      <c r="C115" s="78">
        <v>3.95</v>
      </c>
      <c r="D115" s="54">
        <f t="shared" si="1"/>
        <v>0.168</v>
      </c>
      <c r="G115" s="80"/>
    </row>
    <row r="116">
      <c r="A116" s="48"/>
      <c r="B116" s="55">
        <v>41090.0</v>
      </c>
      <c r="C116" s="78">
        <v>4.77</v>
      </c>
      <c r="D116" s="54">
        <f t="shared" si="1"/>
        <v>0.205</v>
      </c>
      <c r="G116" s="80"/>
    </row>
    <row r="117">
      <c r="A117" s="48"/>
      <c r="B117" s="55">
        <v>41182.0</v>
      </c>
      <c r="C117" s="78">
        <v>5.02</v>
      </c>
      <c r="D117" s="54">
        <f t="shared" si="1"/>
        <v>0.216</v>
      </c>
      <c r="G117" s="80"/>
    </row>
    <row r="118">
      <c r="A118" s="48"/>
      <c r="B118" s="53">
        <v>41274.0</v>
      </c>
      <c r="C118" s="78">
        <v>5.07</v>
      </c>
      <c r="D118" s="54">
        <f t="shared" si="1"/>
        <v>0.219</v>
      </c>
      <c r="G118" s="80"/>
    </row>
    <row r="119">
      <c r="A119" s="48"/>
      <c r="B119" s="55">
        <v>41364.0</v>
      </c>
      <c r="C119" s="78">
        <v>4.92</v>
      </c>
      <c r="D119" s="54">
        <f t="shared" si="1"/>
        <v>0.212</v>
      </c>
      <c r="G119" s="80"/>
    </row>
    <row r="120">
      <c r="A120" s="48"/>
      <c r="B120" s="55">
        <v>41455.0</v>
      </c>
      <c r="C120" s="78">
        <v>4.86</v>
      </c>
      <c r="D120" s="54">
        <f t="shared" si="1"/>
        <v>0.209</v>
      </c>
      <c r="G120" s="80"/>
    </row>
    <row r="121">
      <c r="A121" s="48"/>
      <c r="B121" s="55">
        <v>41547.0</v>
      </c>
      <c r="C121" s="78">
        <v>5.04</v>
      </c>
      <c r="D121" s="54">
        <f t="shared" si="1"/>
        <v>0.217</v>
      </c>
      <c r="G121" s="80"/>
    </row>
    <row r="122">
      <c r="A122" s="48"/>
      <c r="B122" s="53">
        <v>41639.0</v>
      </c>
      <c r="C122" s="78">
        <v>5.04</v>
      </c>
      <c r="D122" s="54">
        <f t="shared" si="1"/>
        <v>0.217</v>
      </c>
      <c r="G122" s="80"/>
    </row>
    <row r="123">
      <c r="A123" s="48"/>
      <c r="B123" s="55">
        <v>41729.0</v>
      </c>
      <c r="C123" s="78">
        <v>5.04</v>
      </c>
      <c r="D123" s="54">
        <f t="shared" si="1"/>
        <v>0.217</v>
      </c>
      <c r="G123" s="80"/>
    </row>
    <row r="124">
      <c r="A124" s="48"/>
      <c r="B124" s="55">
        <v>41820.0</v>
      </c>
      <c r="C124" s="78">
        <v>5.04</v>
      </c>
      <c r="D124" s="54">
        <f t="shared" si="1"/>
        <v>0.217</v>
      </c>
      <c r="G124" s="80"/>
    </row>
    <row r="125">
      <c r="A125" s="48"/>
      <c r="B125" s="55">
        <v>41912.0</v>
      </c>
      <c r="C125" s="78">
        <v>4.96</v>
      </c>
      <c r="D125" s="54">
        <f t="shared" si="1"/>
        <v>0.214</v>
      </c>
      <c r="G125" s="80"/>
    </row>
    <row r="126">
      <c r="A126" s="48"/>
      <c r="B126" s="53">
        <v>42004.0</v>
      </c>
      <c r="C126" s="78">
        <v>4.99</v>
      </c>
      <c r="D126" s="54">
        <f t="shared" si="1"/>
        <v>0.215</v>
      </c>
      <c r="G126" s="80"/>
    </row>
    <row r="127">
      <c r="A127" s="48"/>
      <c r="B127" s="55">
        <v>42094.0</v>
      </c>
      <c r="C127" s="78">
        <v>4.93</v>
      </c>
      <c r="D127" s="54">
        <f t="shared" si="1"/>
        <v>0.212</v>
      </c>
      <c r="G127" s="80"/>
    </row>
    <row r="128">
      <c r="A128" s="48"/>
      <c r="B128" s="55">
        <v>42185.0</v>
      </c>
      <c r="C128" s="78">
        <v>4.21</v>
      </c>
      <c r="D128" s="54">
        <f t="shared" si="1"/>
        <v>0.179</v>
      </c>
      <c r="G128" s="80"/>
    </row>
    <row r="129">
      <c r="A129" s="48"/>
      <c r="B129" s="55">
        <v>42277.0</v>
      </c>
      <c r="C129" s="78">
        <v>4.02</v>
      </c>
      <c r="D129" s="54">
        <f t="shared" si="1"/>
        <v>0.171</v>
      </c>
      <c r="G129" s="80"/>
    </row>
    <row r="130">
      <c r="A130" s="48"/>
      <c r="B130" s="53">
        <v>42369.0</v>
      </c>
      <c r="C130" s="78">
        <v>4.04</v>
      </c>
      <c r="D130" s="54">
        <f t="shared" si="1"/>
        <v>0.172</v>
      </c>
      <c r="G130" s="80"/>
    </row>
    <row r="131">
      <c r="A131" s="48"/>
      <c r="B131" s="55">
        <v>42460.0</v>
      </c>
      <c r="C131" s="78">
        <v>4.47</v>
      </c>
      <c r="D131" s="54">
        <f t="shared" si="1"/>
        <v>0.191</v>
      </c>
      <c r="G131" s="80"/>
    </row>
    <row r="132">
      <c r="A132" s="48"/>
      <c r="B132" s="55">
        <v>42551.0</v>
      </c>
      <c r="C132" s="78">
        <v>4.64</v>
      </c>
      <c r="D132" s="54">
        <f t="shared" si="1"/>
        <v>0.199</v>
      </c>
      <c r="G132" s="80"/>
    </row>
    <row r="133">
      <c r="A133" s="48"/>
      <c r="B133" s="55">
        <v>42643.0</v>
      </c>
      <c r="C133" s="78">
        <v>4.81</v>
      </c>
      <c r="D133" s="54">
        <f t="shared" si="1"/>
        <v>0.207</v>
      </c>
      <c r="G133" s="80"/>
    </row>
    <row r="134">
      <c r="A134" s="48"/>
      <c r="B134" s="53">
        <v>42735.0</v>
      </c>
      <c r="C134" s="78">
        <v>4.82</v>
      </c>
      <c r="D134" s="54">
        <f t="shared" si="1"/>
        <v>0.207</v>
      </c>
      <c r="G134" s="80"/>
    </row>
    <row r="135">
      <c r="A135" s="48"/>
      <c r="B135" s="55">
        <v>42825.0</v>
      </c>
      <c r="C135" s="78">
        <v>4.66</v>
      </c>
      <c r="D135" s="54">
        <f t="shared" si="1"/>
        <v>0.2</v>
      </c>
      <c r="G135" s="80"/>
    </row>
    <row r="136">
      <c r="A136" s="48"/>
      <c r="B136" s="55">
        <v>42916.0</v>
      </c>
      <c r="C136" s="78">
        <v>4.61</v>
      </c>
      <c r="D136" s="54">
        <f t="shared" si="1"/>
        <v>0.198</v>
      </c>
      <c r="G136" s="80"/>
    </row>
    <row r="137">
      <c r="A137" s="48"/>
      <c r="B137" s="55">
        <v>43008.0</v>
      </c>
      <c r="C137" s="78">
        <v>4.57</v>
      </c>
      <c r="D137" s="54">
        <f t="shared" si="1"/>
        <v>0.196</v>
      </c>
      <c r="G137" s="80"/>
    </row>
    <row r="138">
      <c r="A138" s="48"/>
      <c r="B138" s="53">
        <v>43100.0</v>
      </c>
      <c r="C138" s="78">
        <v>4.53</v>
      </c>
      <c r="D138" s="54">
        <f t="shared" si="1"/>
        <v>0.194</v>
      </c>
      <c r="G138" s="80"/>
    </row>
    <row r="139">
      <c r="A139" s="48"/>
      <c r="B139" s="55">
        <v>43190.0</v>
      </c>
      <c r="C139" s="78">
        <v>4.32</v>
      </c>
      <c r="D139" s="54">
        <f t="shared" si="1"/>
        <v>0.184</v>
      </c>
      <c r="G139" s="80"/>
    </row>
    <row r="140">
      <c r="A140" s="48"/>
      <c r="B140" s="55">
        <v>43281.0</v>
      </c>
      <c r="C140" s="78">
        <v>4.28</v>
      </c>
      <c r="D140" s="54">
        <f t="shared" si="1"/>
        <v>0.183</v>
      </c>
      <c r="G140" s="80"/>
    </row>
    <row r="141">
      <c r="A141" s="48"/>
      <c r="B141" s="55">
        <v>43373.0</v>
      </c>
      <c r="C141" s="78">
        <v>4.19</v>
      </c>
      <c r="D141" s="54">
        <f t="shared" si="1"/>
        <v>0.178</v>
      </c>
      <c r="G141" s="80"/>
    </row>
    <row r="142">
      <c r="A142" s="48"/>
      <c r="B142" s="53">
        <v>43465.0</v>
      </c>
      <c r="C142" s="78">
        <v>4.23</v>
      </c>
      <c r="D142" s="54">
        <f t="shared" si="1"/>
        <v>0.18</v>
      </c>
      <c r="G142" s="80"/>
    </row>
    <row r="143">
      <c r="A143" s="48"/>
      <c r="B143" s="55">
        <v>43555.0</v>
      </c>
      <c r="C143" s="78">
        <v>3.85</v>
      </c>
      <c r="D143" s="54">
        <f t="shared" si="1"/>
        <v>0.163</v>
      </c>
      <c r="G143" s="80"/>
    </row>
    <row r="144">
      <c r="A144" s="48"/>
      <c r="B144" s="55">
        <v>43646.0</v>
      </c>
      <c r="C144" s="78">
        <v>4.21</v>
      </c>
      <c r="D144" s="54">
        <f t="shared" si="1"/>
        <v>0.179</v>
      </c>
      <c r="G144" s="80"/>
    </row>
    <row r="145">
      <c r="A145" s="48"/>
      <c r="B145" s="55">
        <v>43738.0</v>
      </c>
      <c r="C145" s="78">
        <v>4.06</v>
      </c>
      <c r="D145" s="54">
        <f t="shared" si="1"/>
        <v>0.173</v>
      </c>
      <c r="G145" s="80"/>
    </row>
    <row r="146">
      <c r="A146" s="48"/>
      <c r="B146" s="53">
        <v>43830.0</v>
      </c>
      <c r="C146" s="78">
        <v>4.14</v>
      </c>
      <c r="D146" s="54">
        <f t="shared" si="1"/>
        <v>0.176</v>
      </c>
      <c r="G146" s="80"/>
    </row>
    <row r="147">
      <c r="A147" s="48"/>
      <c r="B147" s="55">
        <v>43921.0</v>
      </c>
      <c r="C147" s="78">
        <v>4.25</v>
      </c>
      <c r="D147" s="54">
        <f t="shared" si="1"/>
        <v>0.181</v>
      </c>
      <c r="G147" s="80"/>
    </row>
    <row r="148">
      <c r="A148" s="48"/>
      <c r="B148" s="55">
        <v>44012.0</v>
      </c>
      <c r="C148" s="78">
        <v>4.28</v>
      </c>
      <c r="D148" s="54">
        <f t="shared" si="1"/>
        <v>0.183</v>
      </c>
      <c r="G148" s="80"/>
    </row>
    <row r="149">
      <c r="A149" s="48"/>
      <c r="B149" s="55">
        <v>44104.0</v>
      </c>
      <c r="C149" s="78">
        <v>4.31</v>
      </c>
      <c r="D149" s="54">
        <f t="shared" si="1"/>
        <v>0.184</v>
      </c>
      <c r="G149" s="80"/>
    </row>
    <row r="150">
      <c r="A150" s="48"/>
      <c r="B150" s="53">
        <v>44196.0</v>
      </c>
      <c r="C150" s="78">
        <v>4.32</v>
      </c>
      <c r="D150" s="54">
        <f t="shared" si="1"/>
        <v>0.184</v>
      </c>
      <c r="G150" s="80"/>
    </row>
    <row r="151">
      <c r="A151" s="48"/>
      <c r="B151" s="55">
        <v>44286.0</v>
      </c>
      <c r="C151" s="78">
        <v>4.4</v>
      </c>
      <c r="D151" s="54">
        <f t="shared" si="1"/>
        <v>0.188</v>
      </c>
      <c r="G151" s="80"/>
    </row>
    <row r="152">
      <c r="A152" s="48"/>
      <c r="B152" s="55">
        <v>44377.0</v>
      </c>
      <c r="C152" s="78">
        <v>4.4</v>
      </c>
      <c r="D152" s="54">
        <f t="shared" si="1"/>
        <v>0.188</v>
      </c>
      <c r="G152" s="80"/>
    </row>
    <row r="153">
      <c r="A153" s="48"/>
      <c r="B153" s="55">
        <v>44469.0</v>
      </c>
      <c r="C153" s="78">
        <v>4.59</v>
      </c>
      <c r="D153" s="54">
        <f t="shared" si="1"/>
        <v>0.197</v>
      </c>
      <c r="G153" s="80"/>
    </row>
    <row r="154">
      <c r="A154" s="48"/>
      <c r="B154" s="53">
        <v>44561.0</v>
      </c>
      <c r="C154" s="78">
        <v>4.12</v>
      </c>
      <c r="D154" s="54">
        <f t="shared" si="1"/>
        <v>0.175</v>
      </c>
      <c r="G154" s="80"/>
    </row>
    <row r="155">
      <c r="A155" s="48"/>
      <c r="B155" s="55">
        <v>44651.0</v>
      </c>
      <c r="C155" s="78">
        <v>4.16</v>
      </c>
      <c r="D155" s="54">
        <f t="shared" si="1"/>
        <v>0.177</v>
      </c>
      <c r="G155" s="80"/>
    </row>
    <row r="156">
      <c r="A156" s="48"/>
      <c r="B156" s="55">
        <v>44742.0</v>
      </c>
      <c r="C156" s="78">
        <v>4.28</v>
      </c>
      <c r="D156" s="54">
        <f t="shared" si="1"/>
        <v>0.183</v>
      </c>
      <c r="G156" s="80"/>
    </row>
    <row r="157">
      <c r="A157" s="48"/>
      <c r="B157" s="55">
        <v>44834.0</v>
      </c>
      <c r="C157" s="78">
        <v>4.15</v>
      </c>
      <c r="D157" s="54">
        <f t="shared" si="1"/>
        <v>0.177</v>
      </c>
      <c r="G157" s="80"/>
    </row>
    <row r="158">
      <c r="A158" s="48"/>
      <c r="B158" s="53">
        <v>44926.0</v>
      </c>
      <c r="C158" s="78">
        <v>4.14</v>
      </c>
      <c r="D158" s="54">
        <f t="shared" si="1"/>
        <v>0.176</v>
      </c>
      <c r="G158" s="80"/>
    </row>
    <row r="159">
      <c r="A159" s="48"/>
      <c r="B159" s="55">
        <v>45016.0</v>
      </c>
      <c r="C159" s="78">
        <v>4.24</v>
      </c>
      <c r="D159" s="54">
        <f t="shared" si="1"/>
        <v>0.181</v>
      </c>
      <c r="G159" s="80"/>
    </row>
    <row r="160">
      <c r="A160" s="48"/>
      <c r="B160" s="55">
        <v>45107.0</v>
      </c>
      <c r="C160" s="78">
        <v>4.25</v>
      </c>
      <c r="D160" s="54">
        <f t="shared" si="1"/>
        <v>0.181</v>
      </c>
      <c r="G160" s="80"/>
    </row>
    <row r="161">
      <c r="A161" s="48"/>
      <c r="B161" s="55">
        <v>45199.0</v>
      </c>
      <c r="C161" s="78">
        <v>4.31</v>
      </c>
      <c r="D161" s="54">
        <f t="shared" si="1"/>
        <v>0.184</v>
      </c>
      <c r="G161" s="80"/>
    </row>
    <row r="162">
      <c r="A162" s="48"/>
      <c r="B162" s="53">
        <v>45291.0</v>
      </c>
      <c r="C162" s="78">
        <v>4.29</v>
      </c>
      <c r="D162" s="54">
        <f t="shared" si="1"/>
        <v>0.183</v>
      </c>
      <c r="G162" s="80"/>
    </row>
    <row r="163">
      <c r="A163" s="48"/>
      <c r="B163" s="55">
        <v>45382.0</v>
      </c>
      <c r="C163" s="78">
        <v>4.34</v>
      </c>
      <c r="D163" s="54">
        <f t="shared" si="1"/>
        <v>0.185</v>
      </c>
      <c r="G163" s="80"/>
    </row>
    <row r="164">
      <c r="A164" s="48"/>
      <c r="B164" s="55">
        <v>45473.0</v>
      </c>
      <c r="C164" s="78">
        <v>4.44</v>
      </c>
      <c r="D164" s="54">
        <f t="shared" si="1"/>
        <v>0.19</v>
      </c>
      <c r="G164" s="80"/>
    </row>
    <row r="165">
      <c r="A165" s="48"/>
      <c r="B165" s="55">
        <v>45565.0</v>
      </c>
      <c r="C165" s="78">
        <v>4.43</v>
      </c>
      <c r="D165" s="54">
        <f t="shared" si="1"/>
        <v>0.189</v>
      </c>
      <c r="G165" s="80"/>
    </row>
    <row r="166">
      <c r="A166" s="48"/>
      <c r="B166" s="42"/>
      <c r="C166" s="42"/>
      <c r="D166" s="42"/>
      <c r="G166" s="80"/>
    </row>
    <row r="167">
      <c r="A167" s="48"/>
      <c r="B167" s="42"/>
      <c r="C167" s="42"/>
      <c r="D167" s="42"/>
      <c r="G167" s="80"/>
    </row>
    <row r="168">
      <c r="A168" s="48"/>
      <c r="B168" s="42"/>
      <c r="C168" s="42"/>
      <c r="D168" s="42"/>
      <c r="G168" s="80"/>
    </row>
    <row r="169">
      <c r="A169" s="48"/>
      <c r="B169" s="42"/>
      <c r="C169" s="42"/>
      <c r="D169" s="42"/>
      <c r="G169" s="80"/>
    </row>
    <row r="170">
      <c r="A170" s="48"/>
      <c r="B170" s="42"/>
      <c r="C170" s="42"/>
      <c r="D170" s="42"/>
      <c r="G170" s="80"/>
    </row>
    <row r="171">
      <c r="A171" s="48"/>
      <c r="B171" s="42"/>
      <c r="C171" s="42"/>
      <c r="D171" s="42"/>
      <c r="G171" s="80"/>
    </row>
    <row r="172">
      <c r="A172" s="48"/>
      <c r="B172" s="42"/>
      <c r="C172" s="42"/>
      <c r="D172" s="42"/>
      <c r="G172" s="80"/>
    </row>
    <row r="173">
      <c r="A173" s="48"/>
      <c r="B173" s="42"/>
      <c r="C173" s="42"/>
      <c r="D173" s="42"/>
      <c r="G173" s="80"/>
    </row>
    <row r="174">
      <c r="A174" s="48"/>
      <c r="B174" s="42"/>
      <c r="C174" s="42"/>
      <c r="D174" s="42"/>
      <c r="G174" s="80"/>
    </row>
    <row r="175">
      <c r="A175" s="48"/>
      <c r="B175" s="42"/>
      <c r="C175" s="42"/>
      <c r="D175" s="42"/>
      <c r="G175" s="80"/>
    </row>
    <row r="176">
      <c r="A176" s="48"/>
      <c r="B176" s="42"/>
      <c r="C176" s="42"/>
      <c r="D176" s="42"/>
      <c r="G176" s="80"/>
    </row>
    <row r="177">
      <c r="A177" s="48"/>
      <c r="B177" s="42"/>
      <c r="C177" s="42"/>
      <c r="D177" s="42"/>
      <c r="G177" s="80"/>
    </row>
    <row r="178">
      <c r="A178" s="48"/>
      <c r="B178" s="42"/>
      <c r="C178" s="42"/>
      <c r="D178" s="42"/>
      <c r="G178" s="80"/>
    </row>
    <row r="179">
      <c r="A179" s="48"/>
      <c r="B179" s="42"/>
      <c r="C179" s="42"/>
      <c r="D179" s="42"/>
      <c r="G179" s="80"/>
    </row>
    <row r="180">
      <c r="A180" s="48"/>
      <c r="B180" s="42"/>
      <c r="C180" s="42"/>
      <c r="D180" s="42"/>
      <c r="G180" s="80"/>
    </row>
    <row r="181">
      <c r="A181" s="48"/>
      <c r="B181" s="42"/>
      <c r="C181" s="42"/>
      <c r="D181" s="42"/>
      <c r="G181" s="80"/>
    </row>
    <row r="182">
      <c r="A182" s="48"/>
      <c r="B182" s="42"/>
      <c r="C182" s="42"/>
      <c r="D182" s="42"/>
      <c r="G182" s="80"/>
    </row>
    <row r="183">
      <c r="A183" s="48"/>
      <c r="B183" s="42"/>
      <c r="C183" s="42"/>
      <c r="D183" s="42"/>
      <c r="G183" s="80"/>
      <c r="H183" s="83"/>
      <c r="I183" s="45"/>
      <c r="J183" s="84"/>
      <c r="K183" s="85"/>
      <c r="L183" s="86"/>
    </row>
    <row r="184">
      <c r="A184" s="48"/>
      <c r="B184" s="42"/>
      <c r="C184" s="42"/>
      <c r="D184" s="42"/>
      <c r="G184" s="80"/>
      <c r="H184" s="83"/>
      <c r="I184" s="45"/>
      <c r="J184" s="84"/>
      <c r="K184" s="85"/>
      <c r="L184" s="86"/>
    </row>
    <row r="185">
      <c r="A185" s="48"/>
      <c r="B185" s="42"/>
      <c r="C185" s="42"/>
      <c r="D185" s="42"/>
      <c r="G185" s="80"/>
      <c r="H185" s="83"/>
      <c r="I185" s="45"/>
      <c r="J185" s="84"/>
      <c r="K185" s="85"/>
      <c r="L185" s="86"/>
    </row>
    <row r="186">
      <c r="A186" s="48"/>
      <c r="B186" s="42"/>
      <c r="C186" s="42"/>
      <c r="D186" s="42"/>
      <c r="G186" s="80"/>
      <c r="H186" s="83"/>
      <c r="I186" s="45"/>
      <c r="J186" s="84"/>
      <c r="K186" s="85"/>
      <c r="L186" s="86"/>
    </row>
    <row r="187">
      <c r="A187" s="48"/>
      <c r="B187" s="42"/>
      <c r="C187" s="42"/>
      <c r="D187" s="42"/>
      <c r="G187" s="80"/>
      <c r="H187" s="83"/>
      <c r="I187" s="45"/>
      <c r="J187" s="84"/>
      <c r="K187" s="85"/>
      <c r="L187" s="86"/>
    </row>
    <row r="188">
      <c r="A188" s="48"/>
      <c r="B188" s="42"/>
      <c r="C188" s="42"/>
      <c r="D188" s="42"/>
      <c r="G188" s="80"/>
      <c r="H188" s="83"/>
      <c r="I188" s="45"/>
      <c r="J188" s="84"/>
      <c r="K188" s="85"/>
      <c r="L188" s="86"/>
    </row>
    <row r="189">
      <c r="A189" s="48"/>
      <c r="B189" s="42"/>
      <c r="C189" s="42"/>
      <c r="D189" s="42"/>
      <c r="G189" s="80"/>
      <c r="H189" s="83"/>
      <c r="I189" s="45"/>
      <c r="J189" s="84"/>
      <c r="K189" s="85"/>
      <c r="L189" s="86"/>
    </row>
    <row r="190">
      <c r="A190" s="48"/>
      <c r="B190" s="42"/>
      <c r="C190" s="42"/>
      <c r="D190" s="42"/>
      <c r="G190" s="80"/>
      <c r="H190" s="83"/>
      <c r="I190" s="45"/>
      <c r="J190" s="84"/>
      <c r="K190" s="85"/>
      <c r="L190" s="86"/>
    </row>
    <row r="191">
      <c r="A191" s="48"/>
      <c r="B191" s="42"/>
      <c r="C191" s="42"/>
      <c r="D191" s="42"/>
      <c r="G191" s="80"/>
      <c r="H191" s="83"/>
      <c r="I191" s="45"/>
      <c r="J191" s="84"/>
      <c r="K191" s="85"/>
      <c r="L191" s="86"/>
    </row>
    <row r="192">
      <c r="A192" s="48"/>
      <c r="B192" s="69"/>
      <c r="C192" s="42"/>
      <c r="D192" s="42"/>
      <c r="G192" s="80"/>
      <c r="H192" s="83"/>
      <c r="I192" s="45"/>
      <c r="J192" s="84"/>
      <c r="K192" s="74"/>
      <c r="L192" s="86"/>
    </row>
    <row r="193">
      <c r="A193" s="48"/>
      <c r="B193" s="87"/>
      <c r="C193" s="42"/>
      <c r="D193" s="42"/>
      <c r="G193" s="80"/>
      <c r="H193" s="83"/>
      <c r="I193" s="45"/>
      <c r="J193" s="84"/>
      <c r="K193" s="88"/>
      <c r="L193" s="86"/>
    </row>
    <row r="194">
      <c r="A194" s="48"/>
      <c r="B194" s="42"/>
      <c r="C194" s="42"/>
      <c r="D194" s="42"/>
      <c r="G194" s="80"/>
      <c r="H194" s="83"/>
      <c r="I194" s="45"/>
      <c r="J194" s="84"/>
      <c r="L194" s="86"/>
    </row>
    <row r="195">
      <c r="A195" s="48"/>
      <c r="B195" s="42"/>
      <c r="C195" s="42"/>
      <c r="D195" s="42"/>
      <c r="G195" s="80"/>
      <c r="H195" s="83"/>
      <c r="I195" s="45"/>
      <c r="J195" s="84"/>
      <c r="L195" s="86"/>
    </row>
    <row r="196">
      <c r="A196" s="48"/>
      <c r="B196" s="42"/>
      <c r="C196" s="42"/>
      <c r="D196" s="42"/>
      <c r="G196" s="80"/>
      <c r="H196" s="83"/>
      <c r="I196" s="45"/>
      <c r="J196" s="84"/>
      <c r="L196" s="86"/>
    </row>
    <row r="197">
      <c r="A197" s="48"/>
      <c r="B197" s="42"/>
      <c r="C197" s="42"/>
      <c r="D197" s="42"/>
      <c r="G197" s="80"/>
      <c r="H197" s="83"/>
      <c r="I197" s="45"/>
      <c r="J197" s="84"/>
      <c r="L197" s="86"/>
    </row>
    <row r="198">
      <c r="A198" s="48"/>
      <c r="B198" s="42"/>
      <c r="C198" s="42"/>
      <c r="D198" s="42"/>
      <c r="G198" s="80"/>
      <c r="H198" s="83"/>
      <c r="I198" s="45"/>
      <c r="J198" s="84"/>
      <c r="L198" s="86"/>
    </row>
    <row r="199">
      <c r="A199" s="48"/>
      <c r="B199" s="42"/>
      <c r="C199" s="42"/>
      <c r="D199" s="42"/>
      <c r="G199" s="80"/>
      <c r="H199" s="83"/>
      <c r="I199" s="45"/>
      <c r="J199" s="84"/>
      <c r="L199" s="86"/>
    </row>
    <row r="200">
      <c r="A200" s="48"/>
      <c r="B200" s="42"/>
      <c r="C200" s="42"/>
      <c r="D200" s="42"/>
      <c r="G200" s="80"/>
      <c r="H200" s="83"/>
      <c r="I200" s="45"/>
      <c r="J200" s="84"/>
      <c r="L200" s="86"/>
    </row>
    <row r="201">
      <c r="A201" s="48"/>
      <c r="B201" s="42"/>
      <c r="C201" s="42"/>
      <c r="D201" s="42"/>
      <c r="G201" s="80"/>
      <c r="H201" s="83"/>
      <c r="I201" s="45"/>
      <c r="J201" s="84"/>
      <c r="L201" s="86"/>
    </row>
    <row r="202">
      <c r="A202" s="48"/>
      <c r="B202" s="42"/>
      <c r="C202" s="42"/>
      <c r="D202" s="42"/>
      <c r="G202" s="80"/>
      <c r="H202" s="83"/>
      <c r="I202" s="45"/>
      <c r="J202" s="84"/>
      <c r="L202" s="86"/>
    </row>
    <row r="203">
      <c r="A203" s="48"/>
      <c r="B203" s="42"/>
      <c r="C203" s="42"/>
      <c r="D203" s="42"/>
      <c r="G203" s="80"/>
      <c r="H203" s="83"/>
      <c r="I203" s="45"/>
      <c r="J203" s="84"/>
      <c r="L203" s="86"/>
    </row>
    <row r="204">
      <c r="A204" s="48"/>
      <c r="B204" s="42"/>
      <c r="C204" s="42"/>
      <c r="D204" s="42"/>
      <c r="G204" s="80"/>
      <c r="H204" s="83"/>
      <c r="I204" s="45"/>
      <c r="J204" s="84"/>
      <c r="L204" s="86"/>
    </row>
    <row r="205">
      <c r="A205" s="48"/>
      <c r="B205" s="42"/>
      <c r="C205" s="42"/>
      <c r="D205" s="42"/>
      <c r="G205" s="80"/>
      <c r="H205" s="83"/>
      <c r="I205" s="45"/>
      <c r="J205" s="84"/>
      <c r="L205" s="86"/>
    </row>
    <row r="206">
      <c r="A206" s="48"/>
      <c r="B206" s="42"/>
      <c r="C206" s="42"/>
      <c r="D206" s="42"/>
      <c r="G206" s="80"/>
      <c r="H206" s="83"/>
      <c r="I206" s="45"/>
      <c r="J206" s="84"/>
      <c r="L206" s="86"/>
    </row>
    <row r="207">
      <c r="A207" s="48"/>
      <c r="B207" s="42"/>
      <c r="C207" s="42"/>
      <c r="D207" s="42"/>
      <c r="G207" s="80"/>
      <c r="H207" s="83"/>
      <c r="I207" s="45"/>
      <c r="J207" s="84"/>
      <c r="L207" s="86"/>
    </row>
    <row r="208">
      <c r="A208" s="48"/>
      <c r="B208" s="42"/>
      <c r="C208" s="42"/>
      <c r="D208" s="42"/>
      <c r="G208" s="80"/>
      <c r="H208" s="83"/>
      <c r="I208" s="45"/>
      <c r="J208" s="84"/>
      <c r="L208" s="86"/>
    </row>
    <row r="209">
      <c r="A209" s="48"/>
      <c r="B209" s="42"/>
      <c r="C209" s="42"/>
      <c r="D209" s="42"/>
      <c r="G209" s="80"/>
      <c r="H209" s="83"/>
      <c r="I209" s="45"/>
      <c r="J209" s="84"/>
      <c r="L209" s="86"/>
    </row>
    <row r="210">
      <c r="A210" s="48"/>
      <c r="B210" s="42"/>
      <c r="C210" s="42"/>
      <c r="D210" s="42"/>
      <c r="G210" s="80"/>
      <c r="H210" s="83"/>
      <c r="I210" s="45"/>
      <c r="J210" s="84"/>
      <c r="L210" s="86"/>
    </row>
    <row r="211">
      <c r="A211" s="48"/>
      <c r="B211" s="42"/>
      <c r="C211" s="42"/>
      <c r="D211" s="42"/>
      <c r="G211" s="80"/>
      <c r="H211" s="83"/>
      <c r="I211" s="45"/>
      <c r="J211" s="84"/>
      <c r="L211" s="86"/>
    </row>
    <row r="212">
      <c r="A212" s="48"/>
      <c r="B212" s="42"/>
      <c r="C212" s="42"/>
      <c r="D212" s="42"/>
      <c r="G212" s="80"/>
      <c r="H212" s="83"/>
      <c r="I212" s="45"/>
      <c r="J212" s="84"/>
      <c r="L212" s="86"/>
    </row>
    <row r="213">
      <c r="A213" s="48"/>
      <c r="B213" s="42"/>
      <c r="C213" s="42"/>
      <c r="D213" s="42"/>
      <c r="G213" s="80"/>
      <c r="H213" s="83"/>
      <c r="I213" s="45"/>
      <c r="J213" s="84"/>
      <c r="L213" s="86"/>
    </row>
    <row r="214">
      <c r="A214" s="48"/>
      <c r="B214" s="42"/>
      <c r="C214" s="42"/>
      <c r="D214" s="42"/>
      <c r="G214" s="80"/>
      <c r="H214" s="83"/>
      <c r="I214" s="45"/>
      <c r="J214" s="84"/>
      <c r="L214" s="86"/>
    </row>
    <row r="215">
      <c r="A215" s="48"/>
      <c r="B215" s="42"/>
      <c r="C215" s="42"/>
      <c r="D215" s="42"/>
      <c r="G215" s="80"/>
      <c r="H215" s="83"/>
      <c r="I215" s="45"/>
      <c r="J215" s="84"/>
      <c r="L215" s="86"/>
    </row>
    <row r="216">
      <c r="A216" s="48"/>
      <c r="B216" s="42"/>
      <c r="C216" s="42"/>
      <c r="D216" s="42"/>
      <c r="G216" s="80"/>
      <c r="H216" s="83"/>
      <c r="I216" s="45"/>
      <c r="J216" s="84"/>
      <c r="L216" s="86"/>
    </row>
    <row r="217">
      <c r="A217" s="48"/>
      <c r="B217" s="42"/>
      <c r="C217" s="42"/>
      <c r="D217" s="42"/>
      <c r="G217" s="80"/>
      <c r="H217" s="83"/>
      <c r="I217" s="45"/>
      <c r="J217" s="84"/>
      <c r="L217" s="86"/>
    </row>
    <row r="218">
      <c r="A218" s="48"/>
      <c r="B218" s="42"/>
      <c r="C218" s="42"/>
      <c r="D218" s="42"/>
      <c r="G218" s="80"/>
      <c r="H218" s="83"/>
      <c r="I218" s="45"/>
      <c r="J218" s="84"/>
    </row>
    <row r="219">
      <c r="A219" s="48"/>
      <c r="B219" s="42"/>
      <c r="C219" s="42"/>
      <c r="D219" s="42"/>
      <c r="I219" s="45"/>
      <c r="J219" s="77"/>
    </row>
    <row r="220">
      <c r="A220" s="48"/>
      <c r="B220" s="42"/>
      <c r="C220" s="42"/>
      <c r="D220" s="42"/>
      <c r="I220" s="45"/>
      <c r="J220" s="77"/>
    </row>
    <row r="221">
      <c r="A221" s="89"/>
      <c r="I221" s="45"/>
      <c r="J221" s="77"/>
    </row>
    <row r="222">
      <c r="A222" s="89"/>
      <c r="I222" s="45"/>
      <c r="J222" s="77"/>
    </row>
    <row r="223">
      <c r="A223" s="89"/>
      <c r="I223" s="45"/>
      <c r="J223" s="77"/>
    </row>
    <row r="224">
      <c r="A224" s="89"/>
      <c r="I224" s="45"/>
      <c r="J224" s="77"/>
    </row>
    <row r="225">
      <c r="A225" s="89"/>
      <c r="I225" s="45"/>
      <c r="J225" s="77"/>
    </row>
    <row r="226">
      <c r="A226" s="89"/>
      <c r="I226" s="45"/>
      <c r="J226" s="77"/>
    </row>
    <row r="227">
      <c r="A227" s="89"/>
      <c r="I227" s="45"/>
      <c r="J227" s="77"/>
    </row>
    <row r="228">
      <c r="A228" s="89"/>
      <c r="I228" s="45"/>
      <c r="J228" s="77"/>
    </row>
    <row r="229">
      <c r="A229" s="89"/>
      <c r="I229" s="45"/>
      <c r="J229" s="77"/>
    </row>
    <row r="230">
      <c r="A230" s="89"/>
      <c r="I230" s="45"/>
      <c r="J230" s="77"/>
    </row>
    <row r="231">
      <c r="A231" s="89"/>
      <c r="I231" s="45"/>
      <c r="J231" s="77"/>
    </row>
    <row r="232">
      <c r="A232" s="89"/>
      <c r="I232" s="45"/>
      <c r="J232" s="77"/>
    </row>
    <row r="233">
      <c r="A233" s="89"/>
      <c r="I233" s="45"/>
      <c r="J233" s="77"/>
    </row>
    <row r="234">
      <c r="A234" s="89"/>
      <c r="I234" s="45"/>
      <c r="J234" s="77"/>
    </row>
    <row r="235">
      <c r="A235" s="89"/>
      <c r="I235" s="45"/>
      <c r="J235" s="77"/>
    </row>
    <row r="236">
      <c r="A236" s="89"/>
      <c r="I236" s="45"/>
      <c r="J236" s="77"/>
    </row>
    <row r="237">
      <c r="A237" s="89"/>
      <c r="I237" s="45"/>
      <c r="J237" s="77"/>
    </row>
    <row r="238">
      <c r="A238" s="89"/>
      <c r="I238" s="45"/>
      <c r="J238" s="77"/>
    </row>
    <row r="239">
      <c r="A239" s="89"/>
      <c r="I239" s="45"/>
      <c r="J239" s="77"/>
    </row>
    <row r="240">
      <c r="A240" s="89"/>
      <c r="I240" s="45"/>
      <c r="J240" s="77"/>
    </row>
    <row r="241">
      <c r="A241" s="89"/>
      <c r="I241" s="45"/>
      <c r="J241" s="77"/>
    </row>
    <row r="242">
      <c r="A242" s="89"/>
      <c r="I242" s="45"/>
      <c r="J242" s="77"/>
    </row>
    <row r="243">
      <c r="A243" s="89"/>
      <c r="I243" s="45"/>
      <c r="J243" s="77"/>
    </row>
    <row r="244">
      <c r="A244" s="89"/>
      <c r="I244" s="45"/>
      <c r="J244" s="77"/>
    </row>
    <row r="245">
      <c r="A245" s="89"/>
      <c r="I245" s="45"/>
      <c r="J245" s="77"/>
    </row>
    <row r="246">
      <c r="A246" s="89"/>
      <c r="I246" s="45"/>
      <c r="J246" s="77"/>
    </row>
    <row r="247">
      <c r="A247" s="89"/>
      <c r="I247" s="45"/>
      <c r="J247" s="77"/>
    </row>
    <row r="248">
      <c r="A248" s="89"/>
      <c r="I248" s="45"/>
      <c r="J248" s="77"/>
    </row>
    <row r="249">
      <c r="A249" s="89"/>
      <c r="I249" s="45"/>
      <c r="J249" s="77"/>
    </row>
    <row r="250">
      <c r="A250" s="89"/>
      <c r="I250" s="45"/>
      <c r="J250" s="77"/>
    </row>
    <row r="251">
      <c r="A251" s="89"/>
      <c r="I251" s="45"/>
      <c r="J251" s="77"/>
    </row>
    <row r="252">
      <c r="A252" s="89"/>
      <c r="I252" s="45"/>
      <c r="J252" s="77"/>
    </row>
    <row r="253">
      <c r="A253" s="89"/>
      <c r="I253" s="45"/>
      <c r="J253" s="77"/>
    </row>
    <row r="254">
      <c r="A254" s="89"/>
      <c r="I254" s="45"/>
      <c r="J254" s="77"/>
    </row>
    <row r="255">
      <c r="A255" s="89"/>
      <c r="I255" s="45"/>
      <c r="J255" s="77"/>
    </row>
    <row r="256">
      <c r="A256" s="89"/>
      <c r="I256" s="45"/>
      <c r="J256" s="77"/>
    </row>
    <row r="257">
      <c r="A257" s="89"/>
      <c r="I257" s="45"/>
      <c r="J257" s="77"/>
      <c r="K257" s="75"/>
    </row>
    <row r="258">
      <c r="A258" s="89"/>
      <c r="I258" s="45"/>
      <c r="J258" s="77"/>
      <c r="K258" s="74"/>
    </row>
    <row r="259">
      <c r="A259" s="89"/>
      <c r="I259" s="45"/>
      <c r="J259" s="77"/>
    </row>
    <row r="260">
      <c r="A260" s="89"/>
      <c r="I260" s="45"/>
      <c r="J260" s="77"/>
    </row>
    <row r="261">
      <c r="A261" s="89"/>
      <c r="I261" s="45"/>
      <c r="J261" s="77"/>
    </row>
    <row r="262">
      <c r="A262" s="89"/>
      <c r="I262" s="45"/>
      <c r="J262" s="77"/>
    </row>
    <row r="263">
      <c r="A263" s="89"/>
      <c r="I263" s="45"/>
      <c r="J263" s="77"/>
    </row>
    <row r="264">
      <c r="A264" s="89"/>
      <c r="I264" s="45"/>
      <c r="J264" s="77"/>
    </row>
    <row r="265">
      <c r="A265" s="89"/>
      <c r="I265" s="45"/>
      <c r="J265" s="77"/>
    </row>
    <row r="266">
      <c r="A266" s="89"/>
      <c r="I266" s="45"/>
      <c r="J266" s="77"/>
    </row>
    <row r="267">
      <c r="A267" s="89"/>
      <c r="I267" s="45"/>
      <c r="J267" s="77"/>
    </row>
    <row r="268">
      <c r="A268" s="89"/>
      <c r="I268" s="45"/>
      <c r="J268" s="77"/>
    </row>
    <row r="269">
      <c r="A269" s="89"/>
      <c r="I269" s="45"/>
      <c r="J269" s="77"/>
    </row>
    <row r="270">
      <c r="A270" s="89"/>
      <c r="I270" s="45"/>
      <c r="J270" s="77"/>
    </row>
    <row r="271">
      <c r="I271" s="45"/>
      <c r="J271" s="77"/>
    </row>
    <row r="272">
      <c r="I272" s="45"/>
      <c r="J272" s="77"/>
    </row>
    <row r="273">
      <c r="I273" s="45"/>
      <c r="J273" s="77"/>
    </row>
    <row r="274">
      <c r="I274" s="45"/>
      <c r="J274" s="77"/>
    </row>
    <row r="275">
      <c r="I275" s="45"/>
      <c r="J275" s="77"/>
    </row>
    <row r="276">
      <c r="I276" s="45"/>
      <c r="J276" s="77"/>
    </row>
    <row r="277">
      <c r="I277" s="45"/>
      <c r="J277" s="77"/>
    </row>
    <row r="278">
      <c r="I278" s="45"/>
      <c r="J278" s="77"/>
    </row>
    <row r="279">
      <c r="I279" s="45"/>
      <c r="J279" s="77"/>
    </row>
    <row r="280">
      <c r="I280" s="45"/>
      <c r="J280" s="77"/>
    </row>
    <row r="281">
      <c r="I281" s="45"/>
      <c r="J281" s="77"/>
    </row>
    <row r="282">
      <c r="I282" s="45"/>
      <c r="J282" s="77"/>
    </row>
    <row r="283">
      <c r="I283" s="45"/>
      <c r="J283" s="77"/>
    </row>
    <row r="284">
      <c r="I284" s="45"/>
      <c r="J284" s="77"/>
    </row>
    <row r="285">
      <c r="I285" s="45"/>
      <c r="J285" s="77"/>
    </row>
    <row r="286">
      <c r="I286" s="45"/>
      <c r="J286" s="77"/>
    </row>
    <row r="287">
      <c r="I287" s="45"/>
      <c r="J287" s="77"/>
    </row>
    <row r="288">
      <c r="I288" s="45"/>
      <c r="J288" s="77"/>
    </row>
    <row r="289">
      <c r="I289" s="45"/>
      <c r="J289" s="77"/>
    </row>
    <row r="290">
      <c r="I290" s="45"/>
      <c r="J290" s="77"/>
    </row>
    <row r="291">
      <c r="I291" s="45"/>
      <c r="J291" s="77"/>
    </row>
    <row r="292">
      <c r="I292" s="45"/>
      <c r="J292" s="77"/>
    </row>
    <row r="293">
      <c r="I293" s="45"/>
      <c r="J293" s="77"/>
    </row>
    <row r="294">
      <c r="I294" s="45"/>
      <c r="J294" s="77"/>
    </row>
    <row r="295">
      <c r="I295" s="45"/>
      <c r="J295" s="77"/>
    </row>
    <row r="296">
      <c r="I296" s="45"/>
      <c r="J296" s="77"/>
    </row>
    <row r="297">
      <c r="I297" s="45"/>
      <c r="J297" s="77"/>
    </row>
    <row r="298">
      <c r="I298" s="45"/>
      <c r="J298" s="77"/>
    </row>
    <row r="299">
      <c r="I299" s="45"/>
      <c r="J299" s="77"/>
    </row>
    <row r="300">
      <c r="I300" s="45"/>
      <c r="J300" s="77"/>
    </row>
    <row r="301">
      <c r="I301" s="45"/>
      <c r="J301" s="77"/>
    </row>
    <row r="302">
      <c r="I302" s="45"/>
      <c r="J302" s="77"/>
    </row>
    <row r="303">
      <c r="I303" s="45"/>
      <c r="J303" s="77"/>
    </row>
    <row r="304">
      <c r="I304" s="45"/>
      <c r="J304" s="77"/>
    </row>
    <row r="305">
      <c r="I305" s="45"/>
      <c r="J305" s="77"/>
    </row>
    <row r="306">
      <c r="I306" s="45"/>
      <c r="J306" s="77"/>
    </row>
    <row r="307">
      <c r="I307" s="45"/>
      <c r="J307" s="77"/>
    </row>
    <row r="308">
      <c r="I308" s="45"/>
      <c r="J308" s="77"/>
    </row>
    <row r="309">
      <c r="I309" s="45"/>
      <c r="J309" s="77"/>
    </row>
    <row r="310">
      <c r="I310" s="45"/>
      <c r="J310" s="77"/>
    </row>
    <row r="311">
      <c r="I311" s="45"/>
      <c r="J311" s="77"/>
    </row>
    <row r="312">
      <c r="I312" s="45"/>
      <c r="J312" s="77"/>
    </row>
    <row r="313">
      <c r="I313" s="45"/>
      <c r="J313" s="77"/>
    </row>
    <row r="314">
      <c r="I314" s="45"/>
      <c r="J314" s="77"/>
    </row>
    <row r="315">
      <c r="I315" s="45"/>
      <c r="J315" s="77"/>
    </row>
    <row r="316">
      <c r="I316" s="45"/>
      <c r="J316" s="77"/>
    </row>
    <row r="317">
      <c r="I317" s="45"/>
      <c r="J317" s="77"/>
    </row>
    <row r="318">
      <c r="I318" s="45"/>
      <c r="J318" s="77"/>
    </row>
    <row r="319">
      <c r="I319" s="45"/>
      <c r="J319" s="77"/>
    </row>
    <row r="320">
      <c r="I320" s="45"/>
      <c r="J320" s="77"/>
    </row>
    <row r="321">
      <c r="I321" s="45"/>
      <c r="J321" s="77"/>
    </row>
    <row r="322">
      <c r="I322" s="45"/>
      <c r="J322" s="77"/>
    </row>
    <row r="323">
      <c r="I323" s="45"/>
      <c r="J323" s="77"/>
    </row>
    <row r="324">
      <c r="I324" s="45"/>
      <c r="J324" s="77"/>
    </row>
    <row r="325">
      <c r="I325" s="45"/>
      <c r="J325" s="77"/>
    </row>
    <row r="326">
      <c r="I326" s="45"/>
      <c r="J326" s="77"/>
    </row>
    <row r="327">
      <c r="I327" s="45"/>
      <c r="J327" s="77"/>
    </row>
    <row r="328">
      <c r="I328" s="45"/>
      <c r="J328" s="77"/>
    </row>
    <row r="329">
      <c r="I329" s="45"/>
      <c r="J329" s="77"/>
    </row>
    <row r="330">
      <c r="I330" s="45"/>
      <c r="J330" s="77"/>
    </row>
    <row r="331">
      <c r="I331" s="45"/>
      <c r="J331" s="77"/>
    </row>
    <row r="332">
      <c r="I332" s="45"/>
      <c r="J332" s="77"/>
    </row>
    <row r="333">
      <c r="I333" s="45"/>
      <c r="J333" s="77"/>
    </row>
    <row r="334">
      <c r="I334" s="45"/>
      <c r="J334" s="77"/>
    </row>
    <row r="335">
      <c r="I335" s="45"/>
      <c r="J335" s="77"/>
    </row>
    <row r="336">
      <c r="I336" s="45"/>
      <c r="J336" s="77"/>
    </row>
    <row r="337">
      <c r="I337" s="45"/>
      <c r="J337" s="77"/>
    </row>
    <row r="338">
      <c r="I338" s="45"/>
      <c r="J338" s="77"/>
    </row>
    <row r="339">
      <c r="I339" s="45"/>
      <c r="J339" s="77"/>
    </row>
    <row r="340">
      <c r="I340" s="45"/>
      <c r="J340" s="77"/>
    </row>
    <row r="341">
      <c r="I341" s="45"/>
      <c r="J341" s="77"/>
    </row>
    <row r="342">
      <c r="I342" s="45"/>
      <c r="J342" s="77"/>
    </row>
    <row r="343">
      <c r="I343" s="45"/>
      <c r="J343" s="77"/>
    </row>
    <row r="344">
      <c r="I344" s="45"/>
      <c r="J344" s="77"/>
    </row>
    <row r="345">
      <c r="I345" s="45"/>
      <c r="J345" s="77"/>
    </row>
    <row r="346">
      <c r="I346" s="45"/>
      <c r="J346" s="77"/>
    </row>
    <row r="347">
      <c r="I347" s="45"/>
      <c r="J347" s="77"/>
    </row>
    <row r="348">
      <c r="I348" s="45"/>
      <c r="J348" s="77"/>
    </row>
    <row r="349">
      <c r="I349" s="45"/>
      <c r="J349" s="77"/>
    </row>
    <row r="350">
      <c r="I350" s="45"/>
      <c r="J350" s="77"/>
    </row>
    <row r="351">
      <c r="I351" s="45"/>
      <c r="J351" s="77"/>
    </row>
    <row r="352">
      <c r="I352" s="45"/>
      <c r="J352" s="77"/>
    </row>
    <row r="353">
      <c r="I353" s="45"/>
      <c r="J353" s="77"/>
    </row>
    <row r="354">
      <c r="I354" s="45"/>
      <c r="J354" s="77"/>
    </row>
    <row r="355">
      <c r="I355" s="45"/>
      <c r="J355" s="77"/>
    </row>
    <row r="356">
      <c r="I356" s="45"/>
      <c r="J356" s="77"/>
    </row>
    <row r="357">
      <c r="I357" s="45"/>
      <c r="J357" s="77"/>
    </row>
    <row r="358">
      <c r="I358" s="45"/>
      <c r="J358" s="77"/>
    </row>
    <row r="359">
      <c r="I359" s="45"/>
      <c r="J359" s="77"/>
    </row>
    <row r="360">
      <c r="I360" s="45"/>
      <c r="J360" s="77"/>
    </row>
    <row r="361">
      <c r="I361" s="45"/>
      <c r="J361" s="77"/>
    </row>
    <row r="362">
      <c r="I362" s="45"/>
      <c r="J362" s="77"/>
    </row>
    <row r="363">
      <c r="I363" s="45"/>
      <c r="J363" s="77"/>
    </row>
    <row r="364">
      <c r="I364" s="45"/>
      <c r="J364" s="77"/>
    </row>
    <row r="365">
      <c r="I365" s="45"/>
      <c r="J365" s="77"/>
    </row>
    <row r="366">
      <c r="I366" s="45"/>
      <c r="J366" s="77"/>
    </row>
    <row r="367">
      <c r="I367" s="45"/>
      <c r="J367" s="77"/>
    </row>
    <row r="368">
      <c r="I368" s="45"/>
      <c r="J368" s="77"/>
    </row>
    <row r="369">
      <c r="I369" s="45"/>
      <c r="J369" s="77"/>
    </row>
    <row r="370">
      <c r="I370" s="45"/>
      <c r="J370" s="77"/>
    </row>
    <row r="371">
      <c r="I371" s="45"/>
      <c r="J371" s="77"/>
    </row>
    <row r="372">
      <c r="I372" s="45"/>
      <c r="J372" s="77"/>
    </row>
    <row r="373">
      <c r="I373" s="45"/>
      <c r="J373" s="77"/>
    </row>
    <row r="374">
      <c r="I374" s="45"/>
      <c r="J374" s="77"/>
    </row>
    <row r="375">
      <c r="I375" s="45"/>
      <c r="J375" s="77"/>
    </row>
    <row r="376">
      <c r="I376" s="45"/>
      <c r="J376" s="77"/>
    </row>
    <row r="377">
      <c r="I377" s="45"/>
      <c r="J377" s="77"/>
    </row>
    <row r="378">
      <c r="I378" s="45"/>
      <c r="J378" s="77"/>
    </row>
    <row r="379">
      <c r="I379" s="45"/>
      <c r="J379" s="77"/>
    </row>
    <row r="380">
      <c r="I380" s="45"/>
      <c r="J380" s="77"/>
    </row>
    <row r="381">
      <c r="I381" s="45"/>
      <c r="J381" s="77"/>
    </row>
    <row r="382">
      <c r="I382" s="45"/>
      <c r="J382" s="77"/>
    </row>
    <row r="383">
      <c r="I383" s="45"/>
      <c r="J383" s="77"/>
    </row>
    <row r="384">
      <c r="I384" s="45"/>
      <c r="J384" s="77"/>
    </row>
    <row r="385">
      <c r="I385" s="45"/>
      <c r="J385" s="77"/>
    </row>
    <row r="386">
      <c r="I386" s="45"/>
      <c r="J386" s="77"/>
    </row>
    <row r="387">
      <c r="I387" s="45"/>
      <c r="J387" s="77"/>
    </row>
    <row r="388">
      <c r="I388" s="45"/>
      <c r="J388" s="77"/>
    </row>
    <row r="389">
      <c r="I389" s="45"/>
      <c r="J389" s="77"/>
    </row>
    <row r="390">
      <c r="I390" s="45"/>
      <c r="J390" s="77"/>
    </row>
    <row r="391">
      <c r="I391" s="45"/>
      <c r="J391" s="77"/>
    </row>
    <row r="392">
      <c r="I392" s="45"/>
      <c r="J392" s="77"/>
    </row>
    <row r="393">
      <c r="I393" s="45"/>
      <c r="J393" s="77"/>
    </row>
    <row r="394">
      <c r="I394" s="45"/>
      <c r="J394" s="77"/>
    </row>
    <row r="395">
      <c r="I395" s="45"/>
      <c r="J395" s="77"/>
    </row>
    <row r="396">
      <c r="I396" s="45"/>
      <c r="J396" s="77"/>
    </row>
    <row r="397">
      <c r="I397" s="45"/>
      <c r="J397" s="77"/>
    </row>
    <row r="398">
      <c r="I398" s="45"/>
      <c r="J398" s="77"/>
    </row>
    <row r="399">
      <c r="I399" s="45"/>
      <c r="J399" s="77"/>
    </row>
    <row r="400">
      <c r="I400" s="45"/>
      <c r="J400" s="77"/>
    </row>
    <row r="401">
      <c r="I401" s="45"/>
      <c r="J401" s="77"/>
    </row>
    <row r="402">
      <c r="I402" s="45"/>
      <c r="J402" s="77"/>
    </row>
    <row r="403">
      <c r="I403" s="45"/>
      <c r="J403" s="77"/>
    </row>
    <row r="404">
      <c r="I404" s="45"/>
      <c r="J404" s="77"/>
    </row>
    <row r="405">
      <c r="I405" s="45"/>
      <c r="J405" s="77"/>
    </row>
    <row r="406">
      <c r="I406" s="45"/>
      <c r="J406" s="77"/>
    </row>
    <row r="407">
      <c r="I407" s="45"/>
      <c r="J407" s="77"/>
    </row>
    <row r="408">
      <c r="I408" s="45"/>
      <c r="J408" s="77"/>
    </row>
    <row r="409">
      <c r="I409" s="45"/>
      <c r="J409" s="77"/>
    </row>
    <row r="410">
      <c r="I410" s="45"/>
      <c r="J410" s="77"/>
    </row>
    <row r="411">
      <c r="I411" s="45"/>
      <c r="J411" s="77"/>
    </row>
    <row r="412">
      <c r="I412" s="45"/>
      <c r="J412" s="77"/>
    </row>
    <row r="413">
      <c r="I413" s="45"/>
      <c r="J413" s="77"/>
    </row>
    <row r="414">
      <c r="I414" s="45"/>
      <c r="J414" s="77"/>
    </row>
    <row r="415">
      <c r="I415" s="45"/>
      <c r="J415" s="77"/>
    </row>
    <row r="416">
      <c r="I416" s="45"/>
      <c r="J416" s="77"/>
    </row>
    <row r="417">
      <c r="I417" s="45"/>
      <c r="J417" s="77"/>
    </row>
    <row r="418">
      <c r="I418" s="45"/>
      <c r="J418" s="77"/>
    </row>
    <row r="419">
      <c r="I419" s="45"/>
      <c r="J419" s="77"/>
    </row>
    <row r="420">
      <c r="I420" s="45"/>
      <c r="J420" s="77"/>
    </row>
    <row r="421">
      <c r="I421" s="45"/>
      <c r="J421" s="77"/>
    </row>
    <row r="422">
      <c r="I422" s="45"/>
      <c r="J422" s="77"/>
    </row>
    <row r="423">
      <c r="I423" s="45"/>
      <c r="J423" s="77"/>
    </row>
    <row r="424">
      <c r="I424" s="45"/>
      <c r="J424" s="77"/>
    </row>
    <row r="425">
      <c r="I425" s="45"/>
      <c r="J425" s="77"/>
    </row>
    <row r="426">
      <c r="I426" s="45"/>
      <c r="J426" s="77"/>
    </row>
    <row r="427">
      <c r="I427" s="45"/>
      <c r="J427" s="77"/>
    </row>
    <row r="428">
      <c r="I428" s="45"/>
      <c r="J428" s="77"/>
    </row>
    <row r="429">
      <c r="I429" s="45"/>
      <c r="J429" s="77"/>
    </row>
    <row r="430">
      <c r="I430" s="45"/>
      <c r="J430" s="77"/>
    </row>
    <row r="431">
      <c r="I431" s="45"/>
      <c r="J431" s="77"/>
    </row>
    <row r="432">
      <c r="I432" s="45"/>
      <c r="J432" s="77"/>
    </row>
    <row r="433">
      <c r="I433" s="45"/>
      <c r="J433" s="77"/>
    </row>
    <row r="434">
      <c r="I434" s="45"/>
      <c r="J434" s="77"/>
    </row>
    <row r="435">
      <c r="I435" s="45"/>
      <c r="J435" s="77"/>
    </row>
    <row r="436">
      <c r="I436" s="45"/>
      <c r="J436" s="77"/>
    </row>
    <row r="437">
      <c r="I437" s="45"/>
      <c r="J437" s="77"/>
    </row>
    <row r="438">
      <c r="I438" s="45"/>
      <c r="J438" s="77"/>
    </row>
    <row r="439">
      <c r="I439" s="45"/>
      <c r="J439" s="77"/>
    </row>
    <row r="440">
      <c r="I440" s="45"/>
      <c r="J440" s="77"/>
    </row>
    <row r="441">
      <c r="I441" s="45"/>
      <c r="J441" s="77"/>
    </row>
    <row r="442">
      <c r="I442" s="45"/>
      <c r="J442" s="77"/>
    </row>
    <row r="443">
      <c r="I443" s="45"/>
      <c r="J443" s="77"/>
    </row>
    <row r="444">
      <c r="I444" s="45"/>
      <c r="J444" s="77"/>
    </row>
    <row r="445">
      <c r="I445" s="45"/>
      <c r="J445" s="77"/>
    </row>
    <row r="446">
      <c r="I446" s="45"/>
      <c r="J446" s="77"/>
    </row>
    <row r="447">
      <c r="I447" s="45"/>
      <c r="J447" s="77"/>
    </row>
    <row r="448">
      <c r="I448" s="45"/>
      <c r="J448" s="77"/>
    </row>
    <row r="449">
      <c r="I449" s="45"/>
      <c r="J449" s="77"/>
    </row>
    <row r="450">
      <c r="I450" s="45"/>
      <c r="J450" s="77"/>
    </row>
    <row r="451">
      <c r="I451" s="45"/>
      <c r="J451" s="77"/>
    </row>
    <row r="452">
      <c r="I452" s="45"/>
      <c r="J452" s="77"/>
    </row>
    <row r="453">
      <c r="I453" s="45"/>
      <c r="J453" s="77"/>
    </row>
    <row r="454">
      <c r="I454" s="45"/>
      <c r="J454" s="77"/>
    </row>
    <row r="455">
      <c r="I455" s="45"/>
      <c r="J455" s="77"/>
    </row>
    <row r="456">
      <c r="I456" s="45"/>
      <c r="J456" s="77"/>
    </row>
    <row r="457">
      <c r="I457" s="45"/>
      <c r="J457" s="77"/>
    </row>
    <row r="458">
      <c r="I458" s="45"/>
      <c r="J458" s="77"/>
    </row>
    <row r="459">
      <c r="I459" s="45"/>
      <c r="J459" s="77"/>
    </row>
    <row r="460">
      <c r="I460" s="45"/>
      <c r="J460" s="77"/>
    </row>
    <row r="461">
      <c r="I461" s="45"/>
      <c r="J461" s="77"/>
    </row>
    <row r="462">
      <c r="I462" s="45"/>
      <c r="J462" s="77"/>
    </row>
    <row r="463">
      <c r="I463" s="45"/>
      <c r="J463" s="77"/>
    </row>
    <row r="464">
      <c r="I464" s="45"/>
      <c r="J464" s="77"/>
    </row>
    <row r="465">
      <c r="I465" s="45"/>
      <c r="J465" s="77"/>
    </row>
    <row r="466">
      <c r="I466" s="45"/>
      <c r="J466" s="77"/>
    </row>
    <row r="467">
      <c r="I467" s="45"/>
      <c r="J467" s="77"/>
    </row>
    <row r="468">
      <c r="I468" s="45"/>
      <c r="J468" s="77"/>
    </row>
    <row r="469">
      <c r="I469" s="45"/>
      <c r="J469" s="77"/>
    </row>
    <row r="470">
      <c r="I470" s="45"/>
      <c r="J470" s="77"/>
    </row>
    <row r="471">
      <c r="I471" s="45"/>
      <c r="J471" s="77"/>
    </row>
    <row r="472">
      <c r="I472" s="45"/>
      <c r="J472" s="77"/>
    </row>
    <row r="473">
      <c r="I473" s="45"/>
      <c r="J473" s="77"/>
    </row>
    <row r="474">
      <c r="I474" s="45"/>
      <c r="J474" s="77"/>
    </row>
    <row r="475">
      <c r="I475" s="45"/>
      <c r="J475" s="77"/>
    </row>
    <row r="476">
      <c r="I476" s="45"/>
      <c r="J476" s="77"/>
    </row>
    <row r="477">
      <c r="I477" s="45"/>
      <c r="J477" s="77"/>
    </row>
    <row r="478">
      <c r="I478" s="45"/>
      <c r="J478" s="77"/>
    </row>
    <row r="479">
      <c r="I479" s="45"/>
      <c r="J479" s="77"/>
    </row>
    <row r="480">
      <c r="I480" s="45"/>
      <c r="J480" s="77"/>
    </row>
    <row r="481">
      <c r="I481" s="45"/>
      <c r="J481" s="77"/>
    </row>
    <row r="482">
      <c r="I482" s="45"/>
      <c r="J482" s="77"/>
    </row>
    <row r="483">
      <c r="I483" s="45"/>
      <c r="J483" s="77"/>
    </row>
    <row r="484">
      <c r="I484" s="45"/>
      <c r="J484" s="77"/>
    </row>
    <row r="485">
      <c r="I485" s="45"/>
      <c r="J485" s="77"/>
    </row>
    <row r="486">
      <c r="I486" s="45"/>
      <c r="J486" s="77"/>
    </row>
    <row r="487">
      <c r="I487" s="45"/>
      <c r="J487" s="77"/>
    </row>
    <row r="488">
      <c r="I488" s="45"/>
      <c r="J488" s="77"/>
    </row>
    <row r="489">
      <c r="I489" s="45"/>
      <c r="J489" s="77"/>
    </row>
    <row r="490">
      <c r="I490" s="45"/>
      <c r="J490" s="77"/>
    </row>
    <row r="491">
      <c r="I491" s="45"/>
      <c r="J491" s="77"/>
    </row>
    <row r="492">
      <c r="I492" s="45"/>
      <c r="J492" s="77"/>
    </row>
    <row r="493">
      <c r="I493" s="45"/>
      <c r="J493" s="77"/>
    </row>
    <row r="494">
      <c r="I494" s="45"/>
      <c r="J494" s="77"/>
    </row>
    <row r="495">
      <c r="I495" s="45"/>
      <c r="J495" s="77"/>
    </row>
    <row r="496">
      <c r="I496" s="45"/>
      <c r="J496" s="77"/>
    </row>
    <row r="497">
      <c r="I497" s="45"/>
      <c r="J497" s="77"/>
    </row>
    <row r="498">
      <c r="I498" s="45"/>
      <c r="J498" s="77"/>
    </row>
    <row r="499">
      <c r="I499" s="45"/>
      <c r="J499" s="77"/>
    </row>
    <row r="500">
      <c r="I500" s="45"/>
      <c r="J500" s="77"/>
    </row>
    <row r="501">
      <c r="I501" s="45"/>
      <c r="J501" s="77"/>
    </row>
    <row r="502">
      <c r="I502" s="45"/>
      <c r="J502" s="77"/>
    </row>
    <row r="503">
      <c r="I503" s="45"/>
      <c r="J503" s="77"/>
    </row>
    <row r="504">
      <c r="I504" s="45"/>
      <c r="J504" s="77"/>
    </row>
    <row r="505">
      <c r="I505" s="45"/>
      <c r="J505" s="77"/>
    </row>
    <row r="506">
      <c r="I506" s="45"/>
      <c r="J506" s="77"/>
    </row>
    <row r="507">
      <c r="I507" s="45"/>
      <c r="J507" s="77"/>
    </row>
    <row r="508">
      <c r="I508" s="45"/>
      <c r="J508" s="77"/>
    </row>
    <row r="509">
      <c r="I509" s="45"/>
      <c r="J509" s="77"/>
    </row>
    <row r="510">
      <c r="I510" s="45"/>
      <c r="J510" s="77"/>
    </row>
    <row r="511">
      <c r="I511" s="45"/>
      <c r="J511" s="77"/>
    </row>
    <row r="512">
      <c r="I512" s="45"/>
      <c r="J512" s="77"/>
    </row>
    <row r="513">
      <c r="I513" s="45"/>
      <c r="J513" s="77"/>
    </row>
    <row r="514">
      <c r="I514" s="45"/>
      <c r="J514" s="77"/>
    </row>
    <row r="515">
      <c r="I515" s="45"/>
      <c r="J515" s="77"/>
    </row>
    <row r="516">
      <c r="I516" s="45"/>
      <c r="J516" s="77"/>
    </row>
    <row r="517">
      <c r="I517" s="45"/>
      <c r="J517" s="77"/>
    </row>
    <row r="518">
      <c r="I518" s="45"/>
      <c r="J518" s="77"/>
    </row>
    <row r="519">
      <c r="I519" s="45"/>
      <c r="J519" s="77"/>
    </row>
    <row r="520">
      <c r="I520" s="45"/>
      <c r="J520" s="77"/>
    </row>
    <row r="521">
      <c r="I521" s="45"/>
      <c r="J521" s="77"/>
    </row>
    <row r="522">
      <c r="I522" s="45"/>
      <c r="J522" s="77"/>
    </row>
    <row r="523">
      <c r="I523" s="45"/>
      <c r="J523" s="77"/>
    </row>
    <row r="524">
      <c r="I524" s="45"/>
      <c r="J524" s="77"/>
    </row>
    <row r="525">
      <c r="I525" s="45"/>
      <c r="J525" s="77"/>
    </row>
    <row r="526">
      <c r="I526" s="45"/>
      <c r="J526" s="77"/>
    </row>
    <row r="527">
      <c r="I527" s="45"/>
      <c r="J527" s="77"/>
    </row>
    <row r="528">
      <c r="I528" s="45"/>
      <c r="J528" s="77"/>
    </row>
    <row r="529">
      <c r="I529" s="45"/>
      <c r="J529" s="77"/>
    </row>
    <row r="530">
      <c r="I530" s="45"/>
      <c r="J530" s="77"/>
    </row>
    <row r="531">
      <c r="I531" s="45"/>
      <c r="J531" s="77"/>
    </row>
    <row r="532">
      <c r="I532" s="45"/>
      <c r="J532" s="77"/>
    </row>
    <row r="533">
      <c r="I533" s="45"/>
      <c r="J533" s="77"/>
    </row>
    <row r="534">
      <c r="I534" s="45"/>
      <c r="J534" s="77"/>
    </row>
    <row r="535">
      <c r="I535" s="45"/>
      <c r="J535" s="77"/>
    </row>
    <row r="536">
      <c r="I536" s="45"/>
      <c r="J536" s="77"/>
    </row>
    <row r="537">
      <c r="I537" s="45"/>
      <c r="J537" s="77"/>
    </row>
    <row r="538">
      <c r="I538" s="45"/>
      <c r="J538" s="77"/>
    </row>
    <row r="539">
      <c r="I539" s="45"/>
      <c r="J539" s="77"/>
    </row>
    <row r="540">
      <c r="I540" s="45"/>
      <c r="J540" s="77"/>
    </row>
    <row r="541">
      <c r="I541" s="45"/>
      <c r="J541" s="77"/>
    </row>
    <row r="542">
      <c r="I542" s="45"/>
      <c r="J542" s="77"/>
    </row>
    <row r="543">
      <c r="I543" s="45"/>
      <c r="J543" s="77"/>
    </row>
    <row r="544">
      <c r="I544" s="45"/>
      <c r="J544" s="77"/>
    </row>
    <row r="545">
      <c r="I545" s="45"/>
      <c r="J545" s="77"/>
    </row>
    <row r="546">
      <c r="I546" s="45"/>
      <c r="J546" s="77"/>
    </row>
    <row r="547">
      <c r="I547" s="45"/>
      <c r="J547" s="77"/>
    </row>
    <row r="548">
      <c r="I548" s="45"/>
      <c r="J548" s="77"/>
    </row>
    <row r="549">
      <c r="I549" s="45"/>
      <c r="J549" s="77"/>
    </row>
    <row r="550">
      <c r="I550" s="45"/>
      <c r="J550" s="77"/>
    </row>
    <row r="551">
      <c r="I551" s="45"/>
      <c r="J551" s="77"/>
    </row>
    <row r="552">
      <c r="I552" s="45"/>
      <c r="J552" s="77"/>
    </row>
    <row r="553">
      <c r="I553" s="45"/>
      <c r="J553" s="77"/>
    </row>
    <row r="554">
      <c r="I554" s="45"/>
      <c r="J554" s="77"/>
    </row>
    <row r="555">
      <c r="I555" s="45"/>
      <c r="J555" s="77"/>
    </row>
    <row r="556">
      <c r="I556" s="45"/>
      <c r="J556" s="77"/>
    </row>
    <row r="557">
      <c r="I557" s="45"/>
      <c r="J557" s="77"/>
    </row>
    <row r="558">
      <c r="I558" s="45"/>
      <c r="J558" s="77"/>
    </row>
    <row r="559">
      <c r="I559" s="45"/>
      <c r="J559" s="77"/>
    </row>
    <row r="560">
      <c r="I560" s="45"/>
      <c r="J560" s="77"/>
    </row>
    <row r="561">
      <c r="I561" s="45"/>
      <c r="J561" s="77"/>
    </row>
    <row r="562">
      <c r="I562" s="45"/>
      <c r="J562" s="77"/>
    </row>
    <row r="563">
      <c r="I563" s="45"/>
      <c r="J563" s="77"/>
    </row>
    <row r="564">
      <c r="I564" s="45"/>
      <c r="J564" s="77"/>
    </row>
    <row r="565">
      <c r="I565" s="45"/>
      <c r="J565" s="77"/>
    </row>
    <row r="566">
      <c r="I566" s="45"/>
      <c r="J566" s="77"/>
    </row>
    <row r="567">
      <c r="I567" s="45"/>
      <c r="J567" s="77"/>
    </row>
    <row r="568">
      <c r="I568" s="45"/>
      <c r="J568" s="77"/>
    </row>
    <row r="569">
      <c r="I569" s="45"/>
      <c r="J569" s="77"/>
    </row>
    <row r="570">
      <c r="I570" s="45"/>
      <c r="J570" s="77"/>
    </row>
    <row r="571">
      <c r="I571" s="45"/>
      <c r="J571" s="77"/>
    </row>
    <row r="572">
      <c r="I572" s="45"/>
      <c r="J572" s="77"/>
    </row>
    <row r="573">
      <c r="I573" s="45"/>
      <c r="J573" s="77"/>
    </row>
    <row r="574">
      <c r="I574" s="45"/>
      <c r="J574" s="77"/>
    </row>
    <row r="575">
      <c r="I575" s="45"/>
      <c r="J575" s="77"/>
    </row>
    <row r="576">
      <c r="I576" s="45"/>
      <c r="J576" s="77"/>
    </row>
    <row r="577">
      <c r="I577" s="45"/>
      <c r="J577" s="77"/>
    </row>
    <row r="578">
      <c r="I578" s="45"/>
      <c r="J578" s="77"/>
    </row>
    <row r="579">
      <c r="I579" s="45"/>
      <c r="J579" s="77"/>
    </row>
    <row r="580">
      <c r="I580" s="45"/>
      <c r="J580" s="77"/>
    </row>
    <row r="581">
      <c r="I581" s="45"/>
      <c r="J581" s="77"/>
    </row>
    <row r="582">
      <c r="I582" s="45"/>
      <c r="J582" s="77"/>
    </row>
    <row r="583">
      <c r="I583" s="45"/>
      <c r="J583" s="77"/>
    </row>
    <row r="584">
      <c r="I584" s="45"/>
      <c r="J584" s="77"/>
    </row>
    <row r="585">
      <c r="I585" s="45"/>
      <c r="J585" s="77"/>
    </row>
    <row r="586">
      <c r="I586" s="45"/>
      <c r="J586" s="77"/>
    </row>
    <row r="587">
      <c r="I587" s="45"/>
      <c r="J587" s="77"/>
    </row>
    <row r="588">
      <c r="I588" s="45"/>
      <c r="J588" s="77"/>
    </row>
    <row r="589">
      <c r="I589" s="45"/>
      <c r="J589" s="77"/>
    </row>
    <row r="590">
      <c r="I590" s="45"/>
      <c r="J590" s="77"/>
    </row>
    <row r="591">
      <c r="I591" s="45"/>
      <c r="J591" s="77"/>
    </row>
    <row r="592">
      <c r="I592" s="45"/>
      <c r="J592" s="77"/>
    </row>
    <row r="593">
      <c r="I593" s="45"/>
      <c r="J593" s="77"/>
    </row>
    <row r="594">
      <c r="I594" s="45"/>
      <c r="J594" s="77"/>
    </row>
    <row r="595">
      <c r="I595" s="45"/>
      <c r="J595" s="77"/>
    </row>
    <row r="596">
      <c r="I596" s="45"/>
      <c r="J596" s="77"/>
    </row>
    <row r="597">
      <c r="I597" s="45"/>
      <c r="J597" s="77"/>
    </row>
    <row r="598">
      <c r="I598" s="45"/>
      <c r="J598" s="77"/>
    </row>
    <row r="599">
      <c r="I599" s="45"/>
      <c r="J599" s="77"/>
    </row>
    <row r="600">
      <c r="I600" s="45"/>
      <c r="J600" s="77"/>
    </row>
    <row r="601">
      <c r="I601" s="45"/>
      <c r="J601" s="77"/>
    </row>
    <row r="602">
      <c r="I602" s="45"/>
      <c r="J602" s="77"/>
    </row>
    <row r="603">
      <c r="I603" s="45"/>
      <c r="J603" s="77"/>
    </row>
    <row r="604">
      <c r="I604" s="45"/>
      <c r="J604" s="77"/>
    </row>
    <row r="605">
      <c r="I605" s="45"/>
      <c r="J605" s="77"/>
    </row>
    <row r="606">
      <c r="I606" s="45"/>
      <c r="J606" s="77"/>
    </row>
    <row r="607">
      <c r="I607" s="45"/>
      <c r="J607" s="77"/>
    </row>
    <row r="608">
      <c r="I608" s="45"/>
      <c r="J608" s="77"/>
    </row>
    <row r="609">
      <c r="I609" s="45"/>
      <c r="J609" s="77"/>
    </row>
    <row r="610">
      <c r="I610" s="45"/>
      <c r="J610" s="77"/>
    </row>
    <row r="611">
      <c r="I611" s="45"/>
      <c r="J611" s="77"/>
    </row>
    <row r="612">
      <c r="I612" s="45"/>
      <c r="J612" s="77"/>
    </row>
    <row r="613">
      <c r="I613" s="45"/>
      <c r="J613" s="77"/>
    </row>
    <row r="614">
      <c r="I614" s="45"/>
      <c r="J614" s="77"/>
    </row>
    <row r="615">
      <c r="I615" s="45"/>
      <c r="J615" s="77"/>
    </row>
    <row r="616">
      <c r="I616" s="45"/>
      <c r="J616" s="77"/>
    </row>
    <row r="617">
      <c r="I617" s="45"/>
      <c r="J617" s="77"/>
    </row>
    <row r="618">
      <c r="I618" s="45"/>
      <c r="J618" s="77"/>
    </row>
    <row r="619">
      <c r="I619" s="45"/>
      <c r="J619" s="77"/>
    </row>
    <row r="620">
      <c r="I620" s="45"/>
      <c r="J620" s="77"/>
    </row>
    <row r="621">
      <c r="I621" s="45"/>
      <c r="J621" s="77"/>
    </row>
    <row r="622">
      <c r="I622" s="45"/>
      <c r="J622" s="77"/>
    </row>
    <row r="623">
      <c r="I623" s="45"/>
      <c r="J623" s="77"/>
    </row>
    <row r="624">
      <c r="I624" s="45"/>
      <c r="J624" s="77"/>
    </row>
    <row r="625">
      <c r="I625" s="45"/>
      <c r="J625" s="77"/>
    </row>
    <row r="626">
      <c r="I626" s="45"/>
      <c r="J626" s="77"/>
    </row>
    <row r="627">
      <c r="I627" s="45"/>
      <c r="J627" s="77"/>
    </row>
    <row r="628">
      <c r="I628" s="45"/>
      <c r="J628" s="77"/>
    </row>
    <row r="629">
      <c r="I629" s="45"/>
      <c r="J629" s="77"/>
    </row>
    <row r="630">
      <c r="I630" s="45"/>
      <c r="J630" s="77"/>
    </row>
    <row r="631">
      <c r="I631" s="45"/>
      <c r="J631" s="77"/>
    </row>
    <row r="632">
      <c r="I632" s="45"/>
      <c r="J632" s="77"/>
    </row>
    <row r="633">
      <c r="I633" s="45"/>
      <c r="J633" s="77"/>
    </row>
    <row r="634">
      <c r="I634" s="45"/>
      <c r="J634" s="77"/>
    </row>
    <row r="635">
      <c r="I635" s="45"/>
      <c r="J635" s="77"/>
    </row>
    <row r="636">
      <c r="I636" s="45"/>
      <c r="J636" s="77"/>
    </row>
    <row r="637">
      <c r="I637" s="45"/>
      <c r="J637" s="77"/>
    </row>
    <row r="638">
      <c r="I638" s="45"/>
      <c r="J638" s="77"/>
    </row>
    <row r="639">
      <c r="I639" s="45"/>
      <c r="J639" s="77"/>
    </row>
    <row r="640">
      <c r="I640" s="45"/>
      <c r="J640" s="77"/>
    </row>
    <row r="641">
      <c r="I641" s="45"/>
      <c r="J641" s="77"/>
    </row>
    <row r="642">
      <c r="I642" s="45"/>
      <c r="J642" s="77"/>
    </row>
    <row r="643">
      <c r="I643" s="45"/>
      <c r="J643" s="77"/>
    </row>
    <row r="644">
      <c r="I644" s="45"/>
      <c r="J644" s="77"/>
    </row>
    <row r="645">
      <c r="I645" s="45"/>
      <c r="J645" s="77"/>
    </row>
    <row r="646">
      <c r="I646" s="45"/>
      <c r="J646" s="77"/>
    </row>
    <row r="647">
      <c r="I647" s="45"/>
      <c r="J647" s="77"/>
    </row>
    <row r="648">
      <c r="I648" s="45"/>
      <c r="J648" s="77"/>
    </row>
    <row r="649">
      <c r="I649" s="45"/>
      <c r="J649" s="77"/>
    </row>
    <row r="650">
      <c r="I650" s="45"/>
      <c r="J650" s="77"/>
    </row>
    <row r="651">
      <c r="I651" s="45"/>
      <c r="J651" s="77"/>
    </row>
    <row r="652">
      <c r="I652" s="45"/>
      <c r="J652" s="77"/>
    </row>
    <row r="653">
      <c r="I653" s="45"/>
      <c r="J653" s="77"/>
    </row>
    <row r="654">
      <c r="I654" s="45"/>
      <c r="J654" s="77"/>
    </row>
    <row r="655">
      <c r="I655" s="45"/>
      <c r="J655" s="77"/>
    </row>
    <row r="656">
      <c r="I656" s="45"/>
      <c r="J656" s="77"/>
    </row>
    <row r="657">
      <c r="I657" s="45"/>
      <c r="J657" s="77"/>
    </row>
    <row r="658">
      <c r="I658" s="45"/>
      <c r="J658" s="77"/>
    </row>
    <row r="659">
      <c r="I659" s="45"/>
      <c r="J659" s="77"/>
    </row>
    <row r="660">
      <c r="I660" s="45"/>
      <c r="J660" s="77"/>
    </row>
    <row r="661">
      <c r="I661" s="45"/>
      <c r="J661" s="77"/>
    </row>
    <row r="662">
      <c r="I662" s="45"/>
      <c r="J662" s="77"/>
    </row>
    <row r="663">
      <c r="I663" s="45"/>
      <c r="J663" s="77"/>
    </row>
    <row r="664">
      <c r="I664" s="45"/>
      <c r="J664" s="77"/>
    </row>
    <row r="665">
      <c r="I665" s="45"/>
      <c r="J665" s="77"/>
    </row>
    <row r="666">
      <c r="I666" s="45"/>
      <c r="J666" s="77"/>
    </row>
    <row r="667">
      <c r="I667" s="45"/>
      <c r="J667" s="77"/>
    </row>
    <row r="668">
      <c r="I668" s="45"/>
      <c r="J668" s="77"/>
    </row>
    <row r="669">
      <c r="I669" s="45"/>
      <c r="J669" s="77"/>
    </row>
    <row r="670">
      <c r="I670" s="45"/>
      <c r="J670" s="77"/>
    </row>
    <row r="671">
      <c r="I671" s="45"/>
      <c r="J671" s="77"/>
    </row>
    <row r="672">
      <c r="I672" s="45"/>
      <c r="J672" s="77"/>
    </row>
    <row r="673">
      <c r="I673" s="45"/>
      <c r="J673" s="77"/>
    </row>
    <row r="674">
      <c r="I674" s="45"/>
      <c r="J674" s="77"/>
    </row>
    <row r="675">
      <c r="I675" s="45"/>
      <c r="J675" s="77"/>
    </row>
    <row r="676">
      <c r="I676" s="45"/>
      <c r="J676" s="77"/>
    </row>
    <row r="677">
      <c r="I677" s="45"/>
      <c r="J677" s="77"/>
    </row>
    <row r="678">
      <c r="I678" s="45"/>
      <c r="J678" s="77"/>
    </row>
    <row r="679">
      <c r="I679" s="45"/>
      <c r="J679" s="77"/>
    </row>
    <row r="680">
      <c r="I680" s="45"/>
      <c r="J680" s="77"/>
    </row>
    <row r="681">
      <c r="I681" s="45"/>
      <c r="J681" s="77"/>
    </row>
    <row r="682">
      <c r="I682" s="45"/>
      <c r="J682" s="77"/>
    </row>
    <row r="683">
      <c r="I683" s="45"/>
      <c r="J683" s="77"/>
    </row>
    <row r="684">
      <c r="I684" s="45"/>
      <c r="J684" s="77"/>
    </row>
    <row r="685">
      <c r="I685" s="45"/>
      <c r="J685" s="77"/>
    </row>
    <row r="686">
      <c r="I686" s="45"/>
      <c r="J686" s="77"/>
    </row>
    <row r="687">
      <c r="I687" s="45"/>
      <c r="J687" s="77"/>
    </row>
    <row r="688">
      <c r="I688" s="45"/>
      <c r="J688" s="77"/>
    </row>
    <row r="689">
      <c r="I689" s="45"/>
      <c r="J689" s="77"/>
    </row>
    <row r="690">
      <c r="I690" s="45"/>
      <c r="J690" s="77"/>
    </row>
    <row r="691">
      <c r="I691" s="45"/>
      <c r="J691" s="77"/>
    </row>
    <row r="692">
      <c r="I692" s="45"/>
      <c r="J692" s="77"/>
    </row>
    <row r="693">
      <c r="I693" s="45"/>
      <c r="J693" s="77"/>
    </row>
    <row r="694">
      <c r="I694" s="45"/>
      <c r="J694" s="77"/>
    </row>
    <row r="695">
      <c r="I695" s="45"/>
      <c r="J695" s="77"/>
    </row>
    <row r="696">
      <c r="I696" s="45"/>
      <c r="J696" s="77"/>
    </row>
    <row r="697">
      <c r="I697" s="45"/>
      <c r="J697" s="77"/>
    </row>
    <row r="698">
      <c r="I698" s="45"/>
      <c r="J698" s="77"/>
    </row>
    <row r="699">
      <c r="I699" s="45"/>
      <c r="J699" s="77"/>
    </row>
    <row r="700">
      <c r="I700" s="45"/>
      <c r="J700" s="77"/>
    </row>
    <row r="701">
      <c r="I701" s="45"/>
      <c r="J701" s="77"/>
    </row>
    <row r="702">
      <c r="I702" s="45"/>
      <c r="J702" s="77"/>
    </row>
    <row r="703">
      <c r="I703" s="45"/>
      <c r="J703" s="77"/>
    </row>
    <row r="704">
      <c r="I704" s="45"/>
      <c r="J704" s="77"/>
    </row>
    <row r="705">
      <c r="I705" s="45"/>
      <c r="J705" s="77"/>
    </row>
    <row r="706">
      <c r="I706" s="45"/>
      <c r="J706" s="77"/>
    </row>
    <row r="707">
      <c r="I707" s="45"/>
      <c r="J707" s="77"/>
    </row>
    <row r="708">
      <c r="I708" s="45"/>
      <c r="J708" s="77"/>
    </row>
    <row r="709">
      <c r="I709" s="45"/>
      <c r="J709" s="77"/>
    </row>
    <row r="710">
      <c r="I710" s="45"/>
      <c r="J710" s="77"/>
    </row>
    <row r="711">
      <c r="I711" s="45"/>
      <c r="J711" s="77"/>
    </row>
    <row r="712">
      <c r="I712" s="45"/>
      <c r="J712" s="77"/>
    </row>
    <row r="713">
      <c r="I713" s="45"/>
      <c r="J713" s="77"/>
    </row>
    <row r="714">
      <c r="I714" s="45"/>
      <c r="J714" s="77"/>
    </row>
    <row r="715">
      <c r="I715" s="45"/>
      <c r="J715" s="77"/>
    </row>
    <row r="716">
      <c r="I716" s="45"/>
      <c r="J716" s="77"/>
    </row>
    <row r="717">
      <c r="I717" s="45"/>
      <c r="J717" s="77"/>
    </row>
    <row r="718">
      <c r="I718" s="45"/>
      <c r="J718" s="77"/>
    </row>
    <row r="719">
      <c r="I719" s="45"/>
      <c r="J719" s="77"/>
    </row>
    <row r="720">
      <c r="I720" s="45"/>
      <c r="J720" s="77"/>
    </row>
    <row r="721">
      <c r="I721" s="45"/>
      <c r="J721" s="77"/>
    </row>
    <row r="722">
      <c r="I722" s="45"/>
      <c r="J722" s="77"/>
    </row>
    <row r="723">
      <c r="I723" s="45"/>
      <c r="J723" s="77"/>
    </row>
    <row r="724">
      <c r="I724" s="45"/>
      <c r="J724" s="77"/>
    </row>
    <row r="725">
      <c r="I725" s="45"/>
      <c r="J725" s="77"/>
    </row>
    <row r="726">
      <c r="I726" s="45"/>
      <c r="J726" s="77"/>
    </row>
    <row r="727">
      <c r="I727" s="45"/>
      <c r="J727" s="77"/>
    </row>
    <row r="728">
      <c r="I728" s="45"/>
      <c r="J728" s="77"/>
    </row>
    <row r="729">
      <c r="I729" s="45"/>
      <c r="J729" s="77"/>
    </row>
    <row r="730">
      <c r="I730" s="45"/>
      <c r="J730" s="77"/>
    </row>
    <row r="731">
      <c r="I731" s="45"/>
      <c r="J731" s="77"/>
    </row>
    <row r="732">
      <c r="I732" s="45"/>
      <c r="J732" s="77"/>
    </row>
    <row r="733">
      <c r="I733" s="45"/>
      <c r="J733" s="77"/>
    </row>
    <row r="734">
      <c r="I734" s="45"/>
      <c r="J734" s="77"/>
    </row>
    <row r="735">
      <c r="I735" s="45"/>
      <c r="J735" s="77"/>
    </row>
    <row r="736">
      <c r="I736" s="45"/>
      <c r="J736" s="77"/>
    </row>
    <row r="737">
      <c r="I737" s="45"/>
      <c r="J737" s="77"/>
    </row>
    <row r="738">
      <c r="I738" s="45"/>
      <c r="J738" s="77"/>
    </row>
    <row r="739">
      <c r="I739" s="45"/>
      <c r="J739" s="77"/>
    </row>
    <row r="740">
      <c r="I740" s="45"/>
      <c r="J740" s="77"/>
    </row>
    <row r="741">
      <c r="I741" s="45"/>
      <c r="J741" s="77"/>
    </row>
    <row r="742">
      <c r="I742" s="45"/>
      <c r="J742" s="77"/>
    </row>
    <row r="743">
      <c r="I743" s="45"/>
      <c r="J743" s="77"/>
    </row>
    <row r="744">
      <c r="I744" s="45"/>
      <c r="J744" s="77"/>
    </row>
    <row r="745">
      <c r="I745" s="45"/>
      <c r="J745" s="77"/>
    </row>
    <row r="746">
      <c r="I746" s="45"/>
      <c r="J746" s="77"/>
    </row>
    <row r="747">
      <c r="I747" s="45"/>
      <c r="J747" s="77"/>
    </row>
    <row r="748">
      <c r="I748" s="45"/>
      <c r="J748" s="77"/>
    </row>
    <row r="749">
      <c r="I749" s="45"/>
      <c r="J749" s="77"/>
    </row>
    <row r="750">
      <c r="I750" s="45"/>
      <c r="J750" s="77"/>
    </row>
    <row r="751">
      <c r="I751" s="45"/>
      <c r="J751" s="77"/>
    </row>
    <row r="752">
      <c r="I752" s="45"/>
      <c r="J752" s="77"/>
    </row>
    <row r="753">
      <c r="I753" s="45"/>
      <c r="J753" s="77"/>
    </row>
    <row r="754">
      <c r="I754" s="45"/>
      <c r="J754" s="77"/>
    </row>
    <row r="755">
      <c r="I755" s="45"/>
      <c r="J755" s="77"/>
    </row>
    <row r="756">
      <c r="I756" s="45"/>
      <c r="J756" s="77"/>
    </row>
    <row r="757">
      <c r="I757" s="45"/>
      <c r="J757" s="77"/>
    </row>
    <row r="758">
      <c r="I758" s="45"/>
      <c r="J758" s="77"/>
    </row>
    <row r="759">
      <c r="I759" s="45"/>
      <c r="J759" s="77"/>
    </row>
    <row r="760">
      <c r="I760" s="45"/>
      <c r="J760" s="77"/>
    </row>
    <row r="761">
      <c r="I761" s="45"/>
      <c r="J761" s="77"/>
    </row>
    <row r="762">
      <c r="I762" s="45"/>
      <c r="J762" s="77"/>
    </row>
    <row r="763">
      <c r="I763" s="45"/>
      <c r="J763" s="77"/>
    </row>
    <row r="764">
      <c r="I764" s="45"/>
      <c r="J764" s="77"/>
    </row>
    <row r="765">
      <c r="I765" s="45"/>
      <c r="J765" s="77"/>
    </row>
    <row r="766">
      <c r="I766" s="45"/>
      <c r="J766" s="77"/>
    </row>
    <row r="767">
      <c r="I767" s="45"/>
      <c r="J767" s="77"/>
    </row>
    <row r="768">
      <c r="I768" s="45"/>
      <c r="J768" s="77"/>
    </row>
    <row r="769">
      <c r="I769" s="45"/>
      <c r="J769" s="77"/>
    </row>
    <row r="770">
      <c r="I770" s="45"/>
      <c r="J770" s="77"/>
    </row>
    <row r="771">
      <c r="I771" s="45"/>
      <c r="J771" s="77"/>
    </row>
    <row r="772">
      <c r="I772" s="45"/>
      <c r="J772" s="77"/>
    </row>
    <row r="773">
      <c r="I773" s="45"/>
      <c r="J773" s="77"/>
    </row>
    <row r="774">
      <c r="I774" s="45"/>
      <c r="J774" s="77"/>
    </row>
    <row r="775">
      <c r="I775" s="45"/>
      <c r="J775" s="77"/>
    </row>
    <row r="776">
      <c r="I776" s="45"/>
      <c r="J776" s="77"/>
    </row>
    <row r="777">
      <c r="I777" s="45"/>
      <c r="J777" s="77"/>
    </row>
    <row r="778">
      <c r="I778" s="45"/>
      <c r="J778" s="77"/>
    </row>
    <row r="779">
      <c r="I779" s="45"/>
      <c r="J779" s="77"/>
    </row>
    <row r="780">
      <c r="I780" s="45"/>
      <c r="J780" s="77"/>
    </row>
    <row r="781">
      <c r="I781" s="45"/>
      <c r="J781" s="77"/>
    </row>
    <row r="782">
      <c r="I782" s="45"/>
      <c r="J782" s="77"/>
    </row>
    <row r="783">
      <c r="I783" s="45"/>
      <c r="J783" s="77"/>
    </row>
    <row r="784">
      <c r="I784" s="45"/>
      <c r="J784" s="77"/>
    </row>
    <row r="785">
      <c r="I785" s="45"/>
      <c r="J785" s="77"/>
    </row>
    <row r="786">
      <c r="I786" s="45"/>
      <c r="J786" s="77"/>
    </row>
    <row r="787">
      <c r="I787" s="45"/>
      <c r="J787" s="77"/>
    </row>
    <row r="788">
      <c r="I788" s="45"/>
      <c r="J788" s="77"/>
    </row>
    <row r="789">
      <c r="I789" s="45"/>
      <c r="J789" s="77"/>
    </row>
    <row r="790">
      <c r="I790" s="45"/>
      <c r="J790" s="77"/>
    </row>
    <row r="791">
      <c r="I791" s="45"/>
      <c r="J791" s="77"/>
    </row>
    <row r="792">
      <c r="I792" s="45"/>
      <c r="J792" s="77"/>
    </row>
    <row r="793">
      <c r="I793" s="45"/>
      <c r="J793" s="77"/>
    </row>
    <row r="794">
      <c r="I794" s="45"/>
      <c r="J794" s="77"/>
    </row>
    <row r="795">
      <c r="I795" s="45"/>
      <c r="J795" s="77"/>
    </row>
    <row r="796">
      <c r="I796" s="45"/>
      <c r="J796" s="77"/>
    </row>
    <row r="797">
      <c r="I797" s="45"/>
      <c r="J797" s="77"/>
    </row>
    <row r="798">
      <c r="I798" s="45"/>
      <c r="J798" s="77"/>
    </row>
    <row r="799">
      <c r="I799" s="45"/>
      <c r="J799" s="77"/>
    </row>
    <row r="800">
      <c r="I800" s="45"/>
      <c r="J800" s="77"/>
    </row>
    <row r="801">
      <c r="I801" s="45"/>
      <c r="J801" s="77"/>
    </row>
    <row r="802">
      <c r="I802" s="45"/>
      <c r="J802" s="77"/>
    </row>
    <row r="803">
      <c r="I803" s="45"/>
      <c r="J803" s="77"/>
    </row>
    <row r="804">
      <c r="I804" s="45"/>
      <c r="J804" s="77"/>
    </row>
    <row r="805">
      <c r="I805" s="45"/>
      <c r="J805" s="77"/>
    </row>
    <row r="806">
      <c r="I806" s="45"/>
      <c r="J806" s="77"/>
    </row>
    <row r="807">
      <c r="I807" s="45"/>
      <c r="J807" s="77"/>
    </row>
    <row r="808">
      <c r="I808" s="45"/>
      <c r="J808" s="77"/>
    </row>
    <row r="809">
      <c r="I809" s="45"/>
      <c r="J809" s="77"/>
    </row>
    <row r="810">
      <c r="I810" s="45"/>
      <c r="J810" s="77"/>
    </row>
    <row r="811">
      <c r="I811" s="45"/>
      <c r="J811" s="77"/>
    </row>
    <row r="812">
      <c r="I812" s="45"/>
      <c r="J812" s="77"/>
    </row>
    <row r="813">
      <c r="I813" s="45"/>
      <c r="J813" s="77"/>
    </row>
    <row r="814">
      <c r="I814" s="45"/>
      <c r="J814" s="77"/>
    </row>
    <row r="815">
      <c r="I815" s="45"/>
      <c r="J815" s="77"/>
    </row>
    <row r="816">
      <c r="I816" s="45"/>
      <c r="J816" s="77"/>
    </row>
    <row r="817">
      <c r="I817" s="45"/>
      <c r="J817" s="77"/>
    </row>
    <row r="818">
      <c r="I818" s="45"/>
      <c r="J818" s="77"/>
    </row>
    <row r="819">
      <c r="I819" s="45"/>
      <c r="J819" s="77"/>
    </row>
    <row r="820">
      <c r="I820" s="45"/>
      <c r="J820" s="77"/>
    </row>
    <row r="821">
      <c r="I821" s="45"/>
      <c r="J821" s="77"/>
    </row>
    <row r="822">
      <c r="I822" s="45"/>
      <c r="J822" s="77"/>
    </row>
    <row r="823">
      <c r="I823" s="45"/>
      <c r="J823" s="77"/>
    </row>
    <row r="824">
      <c r="I824" s="45"/>
      <c r="J824" s="77"/>
    </row>
    <row r="825">
      <c r="I825" s="45"/>
      <c r="J825" s="77"/>
    </row>
    <row r="826">
      <c r="I826" s="45"/>
      <c r="J826" s="77"/>
    </row>
    <row r="827">
      <c r="I827" s="45"/>
      <c r="J827" s="77"/>
    </row>
    <row r="828">
      <c r="I828" s="45"/>
      <c r="J828" s="77"/>
    </row>
    <row r="829">
      <c r="I829" s="45"/>
      <c r="J829" s="77"/>
    </row>
    <row r="830">
      <c r="I830" s="45"/>
      <c r="J830" s="77"/>
    </row>
    <row r="831">
      <c r="I831" s="45"/>
      <c r="J831" s="77"/>
    </row>
    <row r="832">
      <c r="I832" s="45"/>
      <c r="J832" s="77"/>
    </row>
    <row r="833">
      <c r="I833" s="45"/>
      <c r="J833" s="77"/>
    </row>
    <row r="834">
      <c r="I834" s="45"/>
      <c r="J834" s="77"/>
    </row>
    <row r="835">
      <c r="I835" s="45"/>
      <c r="J835" s="77"/>
    </row>
    <row r="836">
      <c r="I836" s="45"/>
      <c r="J836" s="77"/>
    </row>
    <row r="837">
      <c r="I837" s="45"/>
      <c r="J837" s="77"/>
    </row>
    <row r="838">
      <c r="I838" s="45"/>
      <c r="J838" s="77"/>
    </row>
    <row r="839">
      <c r="I839" s="45"/>
      <c r="J839" s="77"/>
    </row>
    <row r="840">
      <c r="I840" s="45"/>
      <c r="J840" s="77"/>
    </row>
    <row r="841">
      <c r="I841" s="45"/>
      <c r="J841" s="77"/>
    </row>
    <row r="842">
      <c r="I842" s="45"/>
      <c r="J842" s="77"/>
    </row>
    <row r="843">
      <c r="I843" s="45"/>
      <c r="J843" s="77"/>
    </row>
    <row r="844">
      <c r="I844" s="45"/>
      <c r="J844" s="77"/>
    </row>
    <row r="845">
      <c r="I845" s="45"/>
      <c r="J845" s="77"/>
    </row>
    <row r="846">
      <c r="I846" s="45"/>
      <c r="J846" s="77"/>
    </row>
    <row r="847">
      <c r="I847" s="45"/>
      <c r="J847" s="77"/>
    </row>
    <row r="848">
      <c r="I848" s="45"/>
      <c r="J848" s="77"/>
    </row>
    <row r="849">
      <c r="I849" s="45"/>
      <c r="J849" s="77"/>
    </row>
    <row r="850">
      <c r="I850" s="45"/>
      <c r="J850" s="77"/>
    </row>
    <row r="851">
      <c r="I851" s="45"/>
      <c r="J851" s="77"/>
    </row>
    <row r="852">
      <c r="I852" s="45"/>
      <c r="J852" s="77"/>
    </row>
    <row r="853">
      <c r="I853" s="45"/>
      <c r="J853" s="77"/>
    </row>
    <row r="854">
      <c r="I854" s="45"/>
      <c r="J854" s="77"/>
    </row>
    <row r="855">
      <c r="I855" s="45"/>
      <c r="J855" s="77"/>
    </row>
    <row r="856">
      <c r="I856" s="45"/>
      <c r="J856" s="77"/>
    </row>
    <row r="857">
      <c r="I857" s="45"/>
      <c r="J857" s="77"/>
    </row>
    <row r="858">
      <c r="I858" s="45"/>
      <c r="J858" s="77"/>
    </row>
    <row r="859">
      <c r="I859" s="45"/>
      <c r="J859" s="77"/>
    </row>
    <row r="860">
      <c r="I860" s="45"/>
      <c r="J860" s="77"/>
    </row>
    <row r="861">
      <c r="I861" s="45"/>
      <c r="J861" s="77"/>
    </row>
    <row r="862">
      <c r="I862" s="45"/>
      <c r="J862" s="77"/>
    </row>
    <row r="863">
      <c r="I863" s="45"/>
      <c r="J863" s="77"/>
    </row>
    <row r="864">
      <c r="I864" s="45"/>
      <c r="J864" s="77"/>
    </row>
    <row r="865">
      <c r="I865" s="45"/>
      <c r="J865" s="77"/>
    </row>
    <row r="866">
      <c r="I866" s="45"/>
      <c r="J866" s="77"/>
    </row>
    <row r="867">
      <c r="I867" s="45"/>
      <c r="J867" s="77"/>
    </row>
    <row r="868">
      <c r="I868" s="45"/>
      <c r="J868" s="77"/>
    </row>
    <row r="869">
      <c r="I869" s="45"/>
      <c r="J869" s="77"/>
    </row>
    <row r="870">
      <c r="I870" s="45"/>
      <c r="J870" s="77"/>
    </row>
    <row r="871">
      <c r="I871" s="45"/>
      <c r="J871" s="77"/>
    </row>
    <row r="872">
      <c r="I872" s="45"/>
      <c r="J872" s="77"/>
    </row>
    <row r="873">
      <c r="I873" s="45"/>
      <c r="J873" s="77"/>
    </row>
    <row r="874">
      <c r="I874" s="45"/>
      <c r="J874" s="77"/>
    </row>
    <row r="875">
      <c r="I875" s="45"/>
      <c r="J875" s="77"/>
    </row>
    <row r="876">
      <c r="I876" s="45"/>
      <c r="J876" s="77"/>
    </row>
    <row r="877">
      <c r="I877" s="45"/>
      <c r="J877" s="77"/>
    </row>
    <row r="878">
      <c r="I878" s="45"/>
      <c r="J878" s="77"/>
    </row>
    <row r="879">
      <c r="I879" s="45"/>
      <c r="J879" s="77"/>
    </row>
    <row r="880">
      <c r="I880" s="45"/>
      <c r="J880" s="77"/>
    </row>
    <row r="881">
      <c r="I881" s="45"/>
      <c r="J881" s="77"/>
    </row>
    <row r="882">
      <c r="I882" s="45"/>
      <c r="J882" s="77"/>
    </row>
    <row r="883">
      <c r="I883" s="45"/>
      <c r="J883" s="77"/>
    </row>
    <row r="884">
      <c r="I884" s="45"/>
      <c r="J884" s="77"/>
    </row>
    <row r="885">
      <c r="I885" s="45"/>
      <c r="J885" s="77"/>
    </row>
    <row r="886">
      <c r="I886" s="45"/>
      <c r="J886" s="77"/>
    </row>
    <row r="887">
      <c r="I887" s="45"/>
      <c r="J887" s="77"/>
    </row>
    <row r="888">
      <c r="I888" s="45"/>
      <c r="J888" s="77"/>
    </row>
    <row r="889">
      <c r="I889" s="45"/>
      <c r="J889" s="77"/>
    </row>
    <row r="890">
      <c r="I890" s="45"/>
      <c r="J890" s="77"/>
    </row>
    <row r="891">
      <c r="I891" s="45"/>
      <c r="J891" s="77"/>
    </row>
    <row r="892">
      <c r="I892" s="45"/>
      <c r="J892" s="77"/>
    </row>
    <row r="893">
      <c r="I893" s="45"/>
      <c r="J893" s="77"/>
    </row>
    <row r="894">
      <c r="I894" s="45"/>
      <c r="J894" s="77"/>
    </row>
    <row r="895">
      <c r="I895" s="45"/>
      <c r="J895" s="77"/>
    </row>
    <row r="896">
      <c r="I896" s="45"/>
      <c r="J896" s="77"/>
    </row>
    <row r="897">
      <c r="I897" s="45"/>
      <c r="J897" s="77"/>
    </row>
    <row r="898">
      <c r="I898" s="45"/>
      <c r="J898" s="77"/>
    </row>
    <row r="899">
      <c r="I899" s="45"/>
      <c r="J899" s="77"/>
    </row>
    <row r="900">
      <c r="I900" s="45"/>
      <c r="J900" s="77"/>
    </row>
    <row r="901">
      <c r="I901" s="45"/>
      <c r="J901" s="77"/>
    </row>
    <row r="902">
      <c r="I902" s="45"/>
      <c r="J902" s="77"/>
    </row>
    <row r="903">
      <c r="I903" s="45"/>
      <c r="J903" s="77"/>
    </row>
    <row r="904">
      <c r="I904" s="45"/>
      <c r="J904" s="77"/>
    </row>
    <row r="905">
      <c r="I905" s="45"/>
      <c r="J905" s="77"/>
    </row>
    <row r="906">
      <c r="I906" s="45"/>
      <c r="J906" s="77"/>
    </row>
    <row r="907">
      <c r="I907" s="45"/>
      <c r="J907" s="77"/>
    </row>
    <row r="908">
      <c r="I908" s="45"/>
      <c r="J908" s="77"/>
    </row>
    <row r="909">
      <c r="I909" s="45"/>
      <c r="J909" s="77"/>
    </row>
    <row r="910">
      <c r="I910" s="45"/>
      <c r="J910" s="77"/>
    </row>
    <row r="911">
      <c r="I911" s="45"/>
      <c r="J911" s="77"/>
    </row>
    <row r="912">
      <c r="I912" s="45"/>
      <c r="J912" s="77"/>
    </row>
    <row r="913">
      <c r="I913" s="45"/>
      <c r="J913" s="77"/>
    </row>
    <row r="914">
      <c r="I914" s="45"/>
      <c r="J914" s="77"/>
    </row>
    <row r="915">
      <c r="I915" s="45"/>
      <c r="J915" s="77"/>
    </row>
    <row r="916">
      <c r="I916" s="45"/>
      <c r="J916" s="77"/>
    </row>
    <row r="917">
      <c r="I917" s="45"/>
      <c r="J917" s="77"/>
    </row>
    <row r="918">
      <c r="I918" s="45"/>
      <c r="J918" s="77"/>
    </row>
    <row r="919">
      <c r="I919" s="45"/>
      <c r="J919" s="77"/>
    </row>
    <row r="920">
      <c r="I920" s="45"/>
      <c r="J920" s="77"/>
    </row>
    <row r="921">
      <c r="I921" s="45"/>
      <c r="J921" s="77"/>
    </row>
    <row r="922">
      <c r="I922" s="45"/>
      <c r="J922" s="77"/>
    </row>
    <row r="923">
      <c r="I923" s="45"/>
      <c r="J923" s="77"/>
    </row>
    <row r="924">
      <c r="I924" s="45"/>
      <c r="J924" s="77"/>
    </row>
    <row r="925">
      <c r="I925" s="45"/>
      <c r="J925" s="77"/>
    </row>
    <row r="926">
      <c r="I926" s="45"/>
      <c r="J926" s="77"/>
    </row>
    <row r="927">
      <c r="I927" s="45"/>
      <c r="J927" s="77"/>
    </row>
    <row r="928">
      <c r="I928" s="45"/>
      <c r="J928" s="77"/>
    </row>
    <row r="929">
      <c r="I929" s="45"/>
      <c r="J929" s="77"/>
    </row>
    <row r="930">
      <c r="I930" s="45"/>
      <c r="J930" s="77"/>
    </row>
    <row r="931">
      <c r="I931" s="45"/>
      <c r="J931" s="77"/>
    </row>
    <row r="932">
      <c r="I932" s="45"/>
      <c r="J932" s="77"/>
    </row>
    <row r="933">
      <c r="I933" s="45"/>
      <c r="J933" s="77"/>
    </row>
    <row r="934">
      <c r="I934" s="45"/>
      <c r="J934" s="77"/>
    </row>
    <row r="935">
      <c r="I935" s="45"/>
      <c r="J935" s="77"/>
    </row>
    <row r="936">
      <c r="I936" s="45"/>
      <c r="J936" s="77"/>
    </row>
    <row r="937">
      <c r="I937" s="45"/>
      <c r="J937" s="77"/>
    </row>
    <row r="938">
      <c r="I938" s="45"/>
      <c r="J938" s="77"/>
    </row>
    <row r="939">
      <c r="I939" s="45"/>
      <c r="J939" s="77"/>
    </row>
    <row r="940">
      <c r="I940" s="45"/>
      <c r="J940" s="77"/>
    </row>
    <row r="941">
      <c r="I941" s="45"/>
      <c r="J941" s="77"/>
    </row>
    <row r="942">
      <c r="I942" s="45"/>
      <c r="J942" s="77"/>
    </row>
    <row r="943">
      <c r="I943" s="45"/>
      <c r="J943" s="77"/>
    </row>
    <row r="944">
      <c r="I944" s="45"/>
      <c r="J944" s="77"/>
    </row>
    <row r="945">
      <c r="I945" s="45"/>
      <c r="J945" s="77"/>
    </row>
    <row r="946">
      <c r="I946" s="45"/>
      <c r="J946" s="77"/>
    </row>
    <row r="947">
      <c r="I947" s="45"/>
      <c r="J947" s="77"/>
    </row>
    <row r="948">
      <c r="I948" s="45"/>
      <c r="J948" s="77"/>
    </row>
    <row r="949">
      <c r="I949" s="45"/>
      <c r="J949" s="77"/>
    </row>
    <row r="950">
      <c r="I950" s="45"/>
      <c r="J950" s="77"/>
    </row>
    <row r="951">
      <c r="I951" s="45"/>
      <c r="J951" s="77"/>
    </row>
    <row r="952">
      <c r="I952" s="45"/>
      <c r="J952" s="77"/>
    </row>
    <row r="953">
      <c r="I953" s="45"/>
      <c r="J953" s="77"/>
    </row>
    <row r="954">
      <c r="I954" s="45"/>
      <c r="J954" s="77"/>
    </row>
    <row r="955">
      <c r="I955" s="45"/>
      <c r="J955" s="77"/>
    </row>
    <row r="956">
      <c r="I956" s="45"/>
      <c r="J956" s="77"/>
    </row>
    <row r="957">
      <c r="I957" s="45"/>
      <c r="J957" s="77"/>
    </row>
    <row r="958">
      <c r="I958" s="45"/>
      <c r="J958" s="77"/>
    </row>
    <row r="959">
      <c r="I959" s="45"/>
      <c r="J959" s="77"/>
    </row>
    <row r="960">
      <c r="I960" s="45"/>
      <c r="J960" s="77"/>
    </row>
    <row r="961">
      <c r="I961" s="45"/>
      <c r="J961" s="77"/>
    </row>
    <row r="962">
      <c r="I962" s="45"/>
      <c r="J962" s="77"/>
    </row>
    <row r="963">
      <c r="I963" s="45"/>
      <c r="J963" s="77"/>
    </row>
    <row r="964">
      <c r="I964" s="45"/>
      <c r="J964" s="77"/>
    </row>
    <row r="965">
      <c r="I965" s="45"/>
      <c r="J965" s="77"/>
    </row>
    <row r="966">
      <c r="I966" s="45"/>
      <c r="J966" s="77"/>
    </row>
    <row r="967">
      <c r="I967" s="45"/>
      <c r="J967" s="77"/>
    </row>
    <row r="968">
      <c r="I968" s="45"/>
      <c r="J968" s="77"/>
    </row>
    <row r="969">
      <c r="I969" s="45"/>
      <c r="J969" s="77"/>
    </row>
    <row r="970">
      <c r="I970" s="45"/>
      <c r="J970" s="77"/>
    </row>
    <row r="971">
      <c r="I971" s="45"/>
      <c r="J971" s="77"/>
    </row>
    <row r="972">
      <c r="I972" s="45"/>
      <c r="J972" s="77"/>
    </row>
    <row r="973">
      <c r="I973" s="45"/>
      <c r="J973" s="77"/>
    </row>
    <row r="974">
      <c r="I974" s="45"/>
      <c r="J974" s="77"/>
    </row>
    <row r="975">
      <c r="I975" s="45"/>
      <c r="J975" s="77"/>
    </row>
    <row r="976">
      <c r="I976" s="45"/>
      <c r="J976" s="77"/>
    </row>
    <row r="977">
      <c r="I977" s="45"/>
      <c r="J977" s="77"/>
    </row>
    <row r="978">
      <c r="I978" s="45"/>
      <c r="J978" s="77"/>
    </row>
    <row r="979">
      <c r="I979" s="45"/>
      <c r="J979" s="77"/>
    </row>
    <row r="980">
      <c r="I980" s="45"/>
      <c r="J980" s="77"/>
    </row>
    <row r="981">
      <c r="I981" s="45"/>
      <c r="J981" s="77"/>
    </row>
    <row r="982">
      <c r="I982" s="45"/>
      <c r="J982" s="77"/>
    </row>
    <row r="983">
      <c r="I983" s="45"/>
      <c r="J983" s="77"/>
    </row>
    <row r="984">
      <c r="I984" s="45"/>
      <c r="J984" s="77"/>
    </row>
    <row r="985">
      <c r="I985" s="45"/>
      <c r="J985" s="77"/>
    </row>
    <row r="986">
      <c r="I986" s="45"/>
      <c r="J986" s="77"/>
    </row>
    <row r="987">
      <c r="I987" s="45"/>
      <c r="J987" s="77"/>
    </row>
    <row r="988">
      <c r="I988" s="45"/>
      <c r="J988" s="77"/>
    </row>
    <row r="989">
      <c r="I989" s="45"/>
      <c r="J989" s="77"/>
    </row>
    <row r="990">
      <c r="I990" s="45"/>
      <c r="J990" s="77"/>
    </row>
    <row r="991">
      <c r="I991" s="45"/>
      <c r="J991" s="77"/>
    </row>
    <row r="992">
      <c r="I992" s="45"/>
      <c r="J992" s="77"/>
    </row>
    <row r="993">
      <c r="I993" s="45"/>
      <c r="J993" s="77"/>
    </row>
    <row r="994">
      <c r="I994" s="45"/>
      <c r="J994" s="77"/>
    </row>
    <row r="995">
      <c r="I995" s="45"/>
      <c r="J995" s="77"/>
    </row>
    <row r="996">
      <c r="I996" s="45"/>
      <c r="J996" s="77"/>
    </row>
    <row r="997">
      <c r="I997" s="45"/>
      <c r="J997" s="77"/>
    </row>
    <row r="998">
      <c r="I998" s="45"/>
      <c r="J998" s="77"/>
    </row>
    <row r="999">
      <c r="I999" s="45"/>
      <c r="J999" s="77"/>
    </row>
    <row r="1000">
      <c r="I1000" s="45"/>
      <c r="J1000" s="77"/>
    </row>
    <row r="1001">
      <c r="I1001" s="45"/>
      <c r="J1001" s="77"/>
    </row>
    <row r="1002">
      <c r="I1002" s="45"/>
      <c r="J1002" s="77"/>
    </row>
    <row r="1003">
      <c r="I1003" s="45"/>
      <c r="J1003" s="77"/>
    </row>
    <row r="1004">
      <c r="I1004" s="45"/>
      <c r="J1004" s="77"/>
    </row>
    <row r="1005">
      <c r="I1005" s="45"/>
      <c r="J1005" s="77"/>
    </row>
    <row r="1006">
      <c r="I1006" s="45"/>
      <c r="J1006" s="77"/>
    </row>
    <row r="1007">
      <c r="I1007" s="45"/>
      <c r="J1007" s="77"/>
    </row>
  </sheetData>
  <mergeCells count="2">
    <mergeCell ref="B2:D2"/>
    <mergeCell ref="B4:D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86"/>
    <col customWidth="1" min="3" max="3" width="21.14"/>
    <col customWidth="1" min="4" max="4" width="32.57"/>
  </cols>
  <sheetData>
    <row r="2">
      <c r="B2" s="61" t="s">
        <v>196</v>
      </c>
    </row>
    <row r="4">
      <c r="B4" s="47" t="s">
        <v>197</v>
      </c>
    </row>
    <row r="6">
      <c r="B6" s="61" t="s">
        <v>198</v>
      </c>
    </row>
    <row r="8">
      <c r="B8" s="3" t="s">
        <v>0</v>
      </c>
      <c r="C8" s="3" t="s">
        <v>199</v>
      </c>
      <c r="D8" s="3" t="s">
        <v>200</v>
      </c>
    </row>
    <row r="9">
      <c r="B9" s="53">
        <v>31412.0</v>
      </c>
      <c r="C9" s="90">
        <v>100.0174</v>
      </c>
      <c r="D9" s="90">
        <f>C9</f>
        <v>100.0174</v>
      </c>
    </row>
    <row r="10">
      <c r="B10" s="53">
        <v>31443.0</v>
      </c>
      <c r="C10" s="90">
        <v>99.7943</v>
      </c>
      <c r="D10" s="90"/>
    </row>
    <row r="11">
      <c r="B11" s="53">
        <v>31471.0</v>
      </c>
      <c r="C11" s="90">
        <v>99.5645</v>
      </c>
      <c r="D11" s="90"/>
    </row>
    <row r="12">
      <c r="B12" s="53">
        <v>31502.0</v>
      </c>
      <c r="C12" s="90">
        <v>99.3348</v>
      </c>
      <c r="D12" s="90">
        <f>ROUND(SUM(C10:C12)/3, 4)</f>
        <v>99.5645</v>
      </c>
    </row>
    <row r="13">
      <c r="B13" s="53">
        <v>31532.0</v>
      </c>
      <c r="C13" s="90">
        <v>99.1167</v>
      </c>
      <c r="D13" s="90"/>
    </row>
    <row r="14">
      <c r="B14" s="53">
        <v>31563.0</v>
      </c>
      <c r="C14" s="90">
        <v>98.9299</v>
      </c>
      <c r="D14" s="90"/>
    </row>
    <row r="15">
      <c r="B15" s="53">
        <v>31593.0</v>
      </c>
      <c r="C15" s="90">
        <v>98.7924</v>
      </c>
      <c r="D15" s="90">
        <f>ROUND(SUM(C13:C15)/3, 4)</f>
        <v>98.9463</v>
      </c>
    </row>
    <row r="16">
      <c r="B16" s="53">
        <v>31624.0</v>
      </c>
      <c r="C16" s="90">
        <v>98.7347</v>
      </c>
      <c r="D16" s="90"/>
    </row>
    <row r="17">
      <c r="B17" s="53">
        <v>31655.0</v>
      </c>
      <c r="C17" s="90">
        <v>98.784</v>
      </c>
      <c r="D17" s="90"/>
    </row>
    <row r="18">
      <c r="B18" s="53">
        <v>31685.0</v>
      </c>
      <c r="C18" s="90">
        <v>98.945</v>
      </c>
      <c r="D18" s="90">
        <f>ROUND(SUM(C16:C18)/3, 4)</f>
        <v>98.8212</v>
      </c>
    </row>
    <row r="19">
      <c r="B19" s="53">
        <v>31716.0</v>
      </c>
      <c r="C19" s="90">
        <v>99.1762</v>
      </c>
      <c r="D19" s="90"/>
    </row>
    <row r="20">
      <c r="B20" s="53">
        <v>31746.0</v>
      </c>
      <c r="C20" s="90">
        <v>99.4194</v>
      </c>
      <c r="D20" s="90"/>
    </row>
    <row r="21">
      <c r="B21" s="53">
        <v>31777.0</v>
      </c>
      <c r="C21" s="90">
        <v>99.6369</v>
      </c>
      <c r="D21" s="90">
        <f>ROUND(SUM(C19:C21)/3, 4)</f>
        <v>99.4108</v>
      </c>
    </row>
    <row r="22">
      <c r="B22" s="53">
        <v>31808.0</v>
      </c>
      <c r="C22" s="90">
        <v>99.8413</v>
      </c>
      <c r="D22" s="90"/>
    </row>
    <row r="23">
      <c r="B23" s="53">
        <v>31836.0</v>
      </c>
      <c r="C23" s="90">
        <v>100.0605</v>
      </c>
      <c r="D23" s="90"/>
    </row>
    <row r="24">
      <c r="B24" s="53">
        <v>31867.0</v>
      </c>
      <c r="C24" s="90">
        <v>100.3109</v>
      </c>
      <c r="D24" s="90">
        <f>ROUND(SUM(C22:C24)/3, 4)</f>
        <v>100.0709</v>
      </c>
    </row>
    <row r="25">
      <c r="B25" s="53">
        <v>31897.0</v>
      </c>
      <c r="C25" s="90">
        <v>100.5793</v>
      </c>
      <c r="D25" s="90"/>
    </row>
    <row r="26">
      <c r="B26" s="53">
        <v>31928.0</v>
      </c>
      <c r="C26" s="90">
        <v>100.8432</v>
      </c>
      <c r="D26" s="90"/>
    </row>
    <row r="27">
      <c r="B27" s="53">
        <v>31958.0</v>
      </c>
      <c r="C27" s="90">
        <v>101.0707</v>
      </c>
      <c r="D27" s="90">
        <f>ROUND(SUM(C25:C27)/3, 4)</f>
        <v>100.8311</v>
      </c>
    </row>
    <row r="28">
      <c r="B28" s="53">
        <v>31989.0</v>
      </c>
      <c r="C28" s="90">
        <v>101.2283</v>
      </c>
      <c r="D28" s="90"/>
    </row>
    <row r="29">
      <c r="B29" s="53">
        <v>32020.0</v>
      </c>
      <c r="C29" s="90">
        <v>101.2768</v>
      </c>
      <c r="D29" s="90"/>
    </row>
    <row r="30">
      <c r="B30" s="53">
        <v>32050.0</v>
      </c>
      <c r="C30" s="90">
        <v>101.2064</v>
      </c>
      <c r="D30" s="90">
        <f>ROUND(SUM(C28:C30)/3, 4)</f>
        <v>101.2372</v>
      </c>
    </row>
    <row r="31">
      <c r="B31" s="53">
        <v>32081.0</v>
      </c>
      <c r="C31" s="90">
        <v>101.0928</v>
      </c>
      <c r="D31" s="90"/>
    </row>
    <row r="32">
      <c r="B32" s="53">
        <v>32111.0</v>
      </c>
      <c r="C32" s="90">
        <v>101.007</v>
      </c>
      <c r="D32" s="90"/>
    </row>
    <row r="33">
      <c r="B33" s="53">
        <v>32142.0</v>
      </c>
      <c r="C33" s="90">
        <v>101.0048</v>
      </c>
      <c r="D33" s="90">
        <f>ROUND(SUM(C31:C33)/3, 4)</f>
        <v>101.0349</v>
      </c>
    </row>
    <row r="34">
      <c r="A34" s="17">
        <v>88.0</v>
      </c>
      <c r="B34" s="53">
        <v>32173.0</v>
      </c>
      <c r="C34" s="90">
        <v>101.0829</v>
      </c>
      <c r="D34" s="90"/>
    </row>
    <row r="35">
      <c r="B35" s="53">
        <v>32201.0</v>
      </c>
      <c r="C35" s="90">
        <v>101.2081</v>
      </c>
      <c r="D35" s="90"/>
    </row>
    <row r="36">
      <c r="B36" s="53">
        <v>32233.0</v>
      </c>
      <c r="C36" s="90">
        <v>101.3773</v>
      </c>
      <c r="D36" s="90">
        <f>ROUND(SUM(C34:C36)/3, 4)</f>
        <v>101.2228</v>
      </c>
    </row>
    <row r="37">
      <c r="B37" s="53">
        <v>32263.0</v>
      </c>
      <c r="C37" s="90">
        <v>101.5738</v>
      </c>
      <c r="D37" s="90"/>
    </row>
    <row r="38">
      <c r="B38" s="53">
        <v>32294.0</v>
      </c>
      <c r="C38" s="90">
        <v>101.7785</v>
      </c>
      <c r="D38" s="90"/>
    </row>
    <row r="39">
      <c r="B39" s="53">
        <v>32324.0</v>
      </c>
      <c r="C39" s="90">
        <v>101.9837</v>
      </c>
      <c r="D39" s="90">
        <f>ROUND(SUM(C37:C39)/3, 4)</f>
        <v>101.7787</v>
      </c>
    </row>
    <row r="40">
      <c r="B40" s="53">
        <v>32355.0</v>
      </c>
      <c r="C40" s="90">
        <v>102.1708</v>
      </c>
      <c r="D40" s="90"/>
    </row>
    <row r="41">
      <c r="B41" s="53">
        <v>32386.0</v>
      </c>
      <c r="C41" s="90">
        <v>102.3041</v>
      </c>
      <c r="D41" s="90"/>
    </row>
    <row r="42">
      <c r="B42" s="53">
        <v>32416.0</v>
      </c>
      <c r="C42" s="90">
        <v>102.3492</v>
      </c>
      <c r="D42" s="90">
        <f>ROUND(SUM(C40:C42)/3, 4)</f>
        <v>102.2747</v>
      </c>
    </row>
    <row r="43">
      <c r="B43" s="53">
        <v>32447.0</v>
      </c>
      <c r="C43" s="90">
        <v>102.2828</v>
      </c>
      <c r="D43" s="90"/>
    </row>
    <row r="44">
      <c r="B44" s="53">
        <v>32477.0</v>
      </c>
      <c r="C44" s="90">
        <v>102.1132</v>
      </c>
      <c r="D44" s="90"/>
    </row>
    <row r="45">
      <c r="B45" s="53">
        <v>32508.0</v>
      </c>
      <c r="C45" s="90">
        <v>101.8688</v>
      </c>
      <c r="D45" s="90">
        <f>ROUND(SUM(C43:C45)/3, 4)</f>
        <v>102.0883</v>
      </c>
    </row>
    <row r="46">
      <c r="A46" s="17">
        <v>89.0</v>
      </c>
      <c r="B46" s="53">
        <v>32539.0</v>
      </c>
      <c r="C46" s="90">
        <v>101.577</v>
      </c>
      <c r="D46" s="90"/>
    </row>
    <row r="47">
      <c r="B47" s="53">
        <v>32567.0</v>
      </c>
      <c r="C47" s="90">
        <v>101.2921</v>
      </c>
      <c r="D47" s="90"/>
    </row>
    <row r="48">
      <c r="B48" s="53">
        <v>32598.0</v>
      </c>
      <c r="C48" s="90">
        <v>101.0354</v>
      </c>
      <c r="D48" s="90">
        <f>ROUND(SUM(C46:C48)/3, 4)</f>
        <v>101.3015</v>
      </c>
    </row>
    <row r="49">
      <c r="B49" s="53">
        <v>32628.0</v>
      </c>
      <c r="C49" s="90">
        <v>100.7981</v>
      </c>
      <c r="D49" s="90"/>
    </row>
    <row r="50">
      <c r="B50" s="53">
        <v>32659.0</v>
      </c>
      <c r="C50" s="90">
        <v>100.5796</v>
      </c>
      <c r="D50" s="90"/>
    </row>
    <row r="51">
      <c r="B51" s="53">
        <v>32689.0</v>
      </c>
      <c r="C51" s="90">
        <v>100.3864</v>
      </c>
      <c r="D51" s="90">
        <f>ROUND(SUM(C49:C51)/3, 4)</f>
        <v>100.588</v>
      </c>
    </row>
    <row r="52">
      <c r="B52" s="53">
        <v>32720.0</v>
      </c>
      <c r="C52" s="90">
        <v>100.2107</v>
      </c>
      <c r="D52" s="90"/>
    </row>
    <row r="53">
      <c r="B53" s="53">
        <v>32751.0</v>
      </c>
      <c r="C53" s="90">
        <v>100.0417</v>
      </c>
      <c r="D53" s="90"/>
    </row>
    <row r="54">
      <c r="B54" s="53">
        <v>32781.0</v>
      </c>
      <c r="C54" s="90">
        <v>99.8651</v>
      </c>
      <c r="D54" s="90">
        <f>ROUND(SUM(C52:C54)/3, 4)</f>
        <v>100.0392</v>
      </c>
    </row>
    <row r="55">
      <c r="B55" s="53">
        <v>32812.0</v>
      </c>
      <c r="C55" s="90">
        <v>99.6705</v>
      </c>
      <c r="D55" s="90"/>
    </row>
    <row r="56">
      <c r="B56" s="53">
        <v>32842.0</v>
      </c>
      <c r="C56" s="90">
        <v>99.4653</v>
      </c>
      <c r="D56" s="90"/>
    </row>
    <row r="57">
      <c r="B57" s="53">
        <v>32873.0</v>
      </c>
      <c r="C57" s="90">
        <v>99.248</v>
      </c>
      <c r="D57" s="90">
        <f>ROUND(SUM(C55:C57)/3, 4)</f>
        <v>99.4613</v>
      </c>
    </row>
    <row r="58">
      <c r="A58" s="17">
        <v>90.0</v>
      </c>
      <c r="B58" s="53">
        <v>32904.0</v>
      </c>
      <c r="C58" s="90">
        <v>99.0233</v>
      </c>
      <c r="D58" s="90"/>
    </row>
    <row r="59">
      <c r="B59" s="53">
        <v>32932.0</v>
      </c>
      <c r="C59" s="90">
        <v>98.805</v>
      </c>
      <c r="D59" s="90"/>
    </row>
    <row r="60">
      <c r="B60" s="53">
        <v>32963.0</v>
      </c>
      <c r="C60" s="90">
        <v>98.5955</v>
      </c>
      <c r="D60" s="90">
        <f>ROUND(SUM(C58:C60)/3, 4)</f>
        <v>98.8079</v>
      </c>
    </row>
    <row r="61">
      <c r="B61" s="53">
        <v>32993.0</v>
      </c>
      <c r="C61" s="90">
        <v>98.3937</v>
      </c>
      <c r="D61" s="90"/>
    </row>
    <row r="62">
      <c r="B62" s="53">
        <v>33024.0</v>
      </c>
      <c r="C62" s="90">
        <v>98.2072</v>
      </c>
      <c r="D62" s="90"/>
    </row>
    <row r="63">
      <c r="B63" s="53">
        <v>33054.0</v>
      </c>
      <c r="C63" s="90">
        <v>98.019</v>
      </c>
      <c r="D63" s="90">
        <f>ROUND(SUM(C61:C63)/3, 4)</f>
        <v>98.2066</v>
      </c>
    </row>
    <row r="64">
      <c r="B64" s="53">
        <v>33085.0</v>
      </c>
      <c r="C64" s="90">
        <v>97.8199</v>
      </c>
      <c r="D64" s="90"/>
    </row>
    <row r="65">
      <c r="B65" s="53">
        <v>33116.0</v>
      </c>
      <c r="C65" s="90">
        <v>97.616</v>
      </c>
      <c r="D65" s="90"/>
    </row>
    <row r="66">
      <c r="B66" s="53">
        <v>33146.0</v>
      </c>
      <c r="C66" s="90">
        <v>97.4311</v>
      </c>
      <c r="D66" s="90">
        <f>ROUND(SUM(C64:C66)/3, 4)</f>
        <v>97.6223</v>
      </c>
    </row>
    <row r="67">
      <c r="B67" s="53">
        <v>33177.0</v>
      </c>
      <c r="C67" s="90">
        <v>97.2999</v>
      </c>
      <c r="D67" s="90"/>
    </row>
    <row r="68">
      <c r="B68" s="53">
        <v>33207.0</v>
      </c>
      <c r="C68" s="90">
        <v>97.2455</v>
      </c>
      <c r="D68" s="90"/>
    </row>
    <row r="69">
      <c r="B69" s="53">
        <v>33238.0</v>
      </c>
      <c r="C69" s="90">
        <v>97.283</v>
      </c>
      <c r="D69" s="90">
        <f>ROUND(SUM(C67:C69)/3, 4)</f>
        <v>97.2761</v>
      </c>
    </row>
    <row r="70">
      <c r="A70" s="17">
        <v>91.0</v>
      </c>
      <c r="B70" s="53">
        <v>33269.0</v>
      </c>
      <c r="C70" s="90">
        <v>97.4229</v>
      </c>
      <c r="D70" s="90"/>
    </row>
    <row r="71">
      <c r="B71" s="53">
        <v>33297.0</v>
      </c>
      <c r="C71" s="90">
        <v>97.6622</v>
      </c>
      <c r="D71" s="90"/>
    </row>
    <row r="72">
      <c r="B72" s="53">
        <v>33328.0</v>
      </c>
      <c r="C72" s="90">
        <v>97.9771</v>
      </c>
      <c r="D72" s="90">
        <f>ROUND(SUM(C70:C72)/3, 4)</f>
        <v>97.6874</v>
      </c>
    </row>
    <row r="73">
      <c r="B73" s="53">
        <v>33358.0</v>
      </c>
      <c r="C73" s="90">
        <v>98.3226</v>
      </c>
      <c r="D73" s="90"/>
    </row>
    <row r="74">
      <c r="B74" s="53">
        <v>33389.0</v>
      </c>
      <c r="C74" s="90">
        <v>98.6524</v>
      </c>
      <c r="D74" s="90"/>
    </row>
    <row r="75">
      <c r="B75" s="53">
        <v>33419.0</v>
      </c>
      <c r="C75" s="90">
        <v>98.9356</v>
      </c>
      <c r="D75" s="90">
        <f>ROUND(SUM(C73:C75)/3, 4)</f>
        <v>98.6369</v>
      </c>
    </row>
    <row r="76">
      <c r="B76" s="53">
        <v>33450.0</v>
      </c>
      <c r="C76" s="90">
        <v>99.1623</v>
      </c>
      <c r="D76" s="90"/>
    </row>
    <row r="77">
      <c r="B77" s="53">
        <v>33481.0</v>
      </c>
      <c r="C77" s="90">
        <v>99.3288</v>
      </c>
      <c r="D77" s="90"/>
    </row>
    <row r="78">
      <c r="B78" s="53">
        <v>33511.0</v>
      </c>
      <c r="C78" s="90">
        <v>99.4353</v>
      </c>
      <c r="D78" s="90">
        <f>ROUND(SUM(C76:C78)/3, 4)</f>
        <v>99.3088</v>
      </c>
    </row>
    <row r="79">
      <c r="B79" s="53">
        <v>33542.0</v>
      </c>
      <c r="C79" s="90">
        <v>99.5042</v>
      </c>
      <c r="D79" s="90"/>
    </row>
    <row r="80">
      <c r="B80" s="53">
        <v>33572.0</v>
      </c>
      <c r="C80" s="90">
        <v>99.5467</v>
      </c>
      <c r="D80" s="90"/>
    </row>
    <row r="81">
      <c r="B81" s="53">
        <v>33603.0</v>
      </c>
      <c r="C81" s="90">
        <v>99.5838</v>
      </c>
      <c r="D81" s="90">
        <f>ROUND(SUM(C79:C81)/3, 4)</f>
        <v>99.5449</v>
      </c>
    </row>
    <row r="82">
      <c r="A82" s="17">
        <v>92.0</v>
      </c>
      <c r="B82" s="53">
        <v>33634.0</v>
      </c>
      <c r="C82" s="90">
        <v>99.6228</v>
      </c>
      <c r="D82" s="90"/>
    </row>
    <row r="83">
      <c r="B83" s="53">
        <v>33662.0</v>
      </c>
      <c r="C83" s="90">
        <v>99.6756</v>
      </c>
      <c r="D83" s="90"/>
    </row>
    <row r="84">
      <c r="B84" s="53">
        <v>33694.0</v>
      </c>
      <c r="C84" s="90">
        <v>99.7523</v>
      </c>
      <c r="D84" s="90">
        <f>ROUND(SUM(C82:C84)/3, 4)</f>
        <v>99.6836</v>
      </c>
    </row>
    <row r="85">
      <c r="B85" s="53">
        <v>33724.0</v>
      </c>
      <c r="C85" s="90">
        <v>99.8407</v>
      </c>
      <c r="D85" s="90"/>
    </row>
    <row r="86">
      <c r="B86" s="53">
        <v>33755.0</v>
      </c>
      <c r="C86" s="90">
        <v>99.9112</v>
      </c>
      <c r="D86" s="90"/>
    </row>
    <row r="87">
      <c r="B87" s="53">
        <v>33785.0</v>
      </c>
      <c r="C87" s="90">
        <v>99.9496</v>
      </c>
      <c r="D87" s="90">
        <f>ROUND(SUM(C85:C87)/3, 4)</f>
        <v>99.9005</v>
      </c>
    </row>
    <row r="88">
      <c r="B88" s="53">
        <v>33816.0</v>
      </c>
      <c r="C88" s="90">
        <v>99.9665</v>
      </c>
      <c r="D88" s="90"/>
    </row>
    <row r="89">
      <c r="B89" s="53">
        <v>33847.0</v>
      </c>
      <c r="C89" s="90">
        <v>99.9904</v>
      </c>
      <c r="D89" s="90"/>
    </row>
    <row r="90">
      <c r="B90" s="53">
        <v>33877.0</v>
      </c>
      <c r="C90" s="90">
        <v>100.0402</v>
      </c>
      <c r="D90" s="90">
        <f>ROUND(SUM(C88:C90)/3, 4)</f>
        <v>99.999</v>
      </c>
    </row>
    <row r="91">
      <c r="B91" s="53">
        <v>33908.0</v>
      </c>
      <c r="C91" s="90">
        <v>100.1251</v>
      </c>
      <c r="D91" s="90"/>
    </row>
    <row r="92">
      <c r="B92" s="53">
        <v>33938.0</v>
      </c>
      <c r="C92" s="90">
        <v>100.2429</v>
      </c>
      <c r="D92" s="90"/>
    </row>
    <row r="93">
      <c r="B93" s="53">
        <v>33969.0</v>
      </c>
      <c r="C93" s="90">
        <v>100.3745</v>
      </c>
      <c r="D93" s="90">
        <f>ROUND(SUM(C91:C93)/3, 4)</f>
        <v>100.2475</v>
      </c>
    </row>
    <row r="94">
      <c r="A94" s="17">
        <v>93.0</v>
      </c>
      <c r="B94" s="53">
        <v>34000.0</v>
      </c>
      <c r="C94" s="90">
        <v>100.4968</v>
      </c>
      <c r="D94" s="90"/>
    </row>
    <row r="95">
      <c r="B95" s="53">
        <v>34028.0</v>
      </c>
      <c r="C95" s="90">
        <v>100.5958</v>
      </c>
      <c r="D95" s="90"/>
    </row>
    <row r="96">
      <c r="B96" s="53">
        <v>34059.0</v>
      </c>
      <c r="C96" s="90">
        <v>100.684</v>
      </c>
      <c r="D96" s="90">
        <f>ROUND(SUM(C94:C96)/3, 4)</f>
        <v>100.5922</v>
      </c>
    </row>
    <row r="97">
      <c r="B97" s="53">
        <v>34089.0</v>
      </c>
      <c r="C97" s="90">
        <v>100.7767</v>
      </c>
      <c r="D97" s="90"/>
    </row>
    <row r="98">
      <c r="B98" s="53">
        <v>34120.0</v>
      </c>
      <c r="C98" s="90">
        <v>100.8723</v>
      </c>
      <c r="D98" s="90"/>
    </row>
    <row r="99">
      <c r="B99" s="53">
        <v>34150.0</v>
      </c>
      <c r="C99" s="90">
        <v>100.9785</v>
      </c>
      <c r="D99" s="90">
        <f>ROUND(SUM(C97:C99)/3, 4)</f>
        <v>100.8758</v>
      </c>
    </row>
    <row r="100">
      <c r="B100" s="53">
        <v>34181.0</v>
      </c>
      <c r="C100" s="90">
        <v>101.1047</v>
      </c>
      <c r="D100" s="90"/>
    </row>
    <row r="101">
      <c r="B101" s="53">
        <v>34212.0</v>
      </c>
      <c r="C101" s="90">
        <v>101.2584</v>
      </c>
      <c r="D101" s="90"/>
    </row>
    <row r="102">
      <c r="B102" s="53">
        <v>34242.0</v>
      </c>
      <c r="C102" s="90">
        <v>101.4496</v>
      </c>
      <c r="D102" s="90">
        <f>ROUND(SUM(C100:C102)/3, 4)</f>
        <v>101.2709</v>
      </c>
    </row>
    <row r="103">
      <c r="B103" s="53">
        <v>34273.0</v>
      </c>
      <c r="C103" s="90">
        <v>101.6679</v>
      </c>
      <c r="D103" s="90"/>
    </row>
    <row r="104">
      <c r="B104" s="53">
        <v>34303.0</v>
      </c>
      <c r="C104" s="90">
        <v>101.8933</v>
      </c>
      <c r="D104" s="90"/>
    </row>
    <row r="105">
      <c r="B105" s="53">
        <v>34334.0</v>
      </c>
      <c r="C105" s="90">
        <v>102.1099</v>
      </c>
      <c r="D105" s="90">
        <f>ROUND(SUM(C103:C105)/3, 4)</f>
        <v>101.8904</v>
      </c>
    </row>
    <row r="106">
      <c r="A106" s="17">
        <v>94.0</v>
      </c>
      <c r="B106" s="53">
        <v>34365.0</v>
      </c>
      <c r="C106" s="90">
        <v>102.2882</v>
      </c>
      <c r="D106" s="90"/>
    </row>
    <row r="107">
      <c r="B107" s="53">
        <v>34393.0</v>
      </c>
      <c r="C107" s="90">
        <v>102.3828</v>
      </c>
      <c r="D107" s="90"/>
    </row>
    <row r="108">
      <c r="B108" s="53">
        <v>34424.0</v>
      </c>
      <c r="C108" s="90">
        <v>102.3817</v>
      </c>
      <c r="D108" s="90">
        <f>ROUND(SUM(C106:C108)/3, 4)</f>
        <v>102.3509</v>
      </c>
    </row>
    <row r="109">
      <c r="B109" s="53">
        <v>34454.0</v>
      </c>
      <c r="C109" s="90">
        <v>102.3246</v>
      </c>
      <c r="D109" s="90"/>
    </row>
    <row r="110">
      <c r="B110" s="53">
        <v>34485.0</v>
      </c>
      <c r="C110" s="90">
        <v>102.2351</v>
      </c>
      <c r="D110" s="90"/>
    </row>
    <row r="111">
      <c r="B111" s="53">
        <v>34515.0</v>
      </c>
      <c r="C111" s="90">
        <v>102.1245</v>
      </c>
      <c r="D111" s="90">
        <f>ROUND(SUM(C109:C111)/3, 4)</f>
        <v>102.2281</v>
      </c>
    </row>
    <row r="112">
      <c r="B112" s="53">
        <v>34546.0</v>
      </c>
      <c r="C112" s="90">
        <v>101.9903</v>
      </c>
      <c r="D112" s="90"/>
    </row>
    <row r="113">
      <c r="B113" s="53">
        <v>34577.0</v>
      </c>
      <c r="C113" s="90">
        <v>101.819</v>
      </c>
      <c r="D113" s="90"/>
    </row>
    <row r="114">
      <c r="B114" s="53">
        <v>34607.0</v>
      </c>
      <c r="C114" s="90">
        <v>101.5821</v>
      </c>
      <c r="D114" s="90">
        <f>ROUND(SUM(C112:C114)/3, 4)</f>
        <v>101.7971</v>
      </c>
    </row>
    <row r="115">
      <c r="B115" s="53">
        <v>34638.0</v>
      </c>
      <c r="C115" s="90">
        <v>101.2809</v>
      </c>
      <c r="D115" s="90"/>
    </row>
    <row r="116">
      <c r="B116" s="53">
        <v>34668.0</v>
      </c>
      <c r="C116" s="90">
        <v>100.9293</v>
      </c>
      <c r="D116" s="90"/>
    </row>
    <row r="117">
      <c r="B117" s="53">
        <v>34699.0</v>
      </c>
      <c r="C117" s="90">
        <v>100.5471</v>
      </c>
      <c r="D117" s="90">
        <f>ROUND(SUM(C115:C117)/3, 4)</f>
        <v>100.9191</v>
      </c>
    </row>
    <row r="118">
      <c r="A118" s="17">
        <v>95.0</v>
      </c>
      <c r="B118" s="53">
        <v>34730.0</v>
      </c>
      <c r="C118" s="90">
        <v>100.1655</v>
      </c>
      <c r="D118" s="90"/>
    </row>
    <row r="119">
      <c r="B119" s="53">
        <v>34758.0</v>
      </c>
      <c r="C119" s="90">
        <v>99.8136</v>
      </c>
      <c r="D119" s="90"/>
    </row>
    <row r="120">
      <c r="B120" s="53">
        <v>34789.0</v>
      </c>
      <c r="C120" s="90">
        <v>99.5088</v>
      </c>
      <c r="D120" s="90">
        <f>ROUND(SUM(C118:C120)/3, 4)</f>
        <v>99.8293</v>
      </c>
    </row>
    <row r="121">
      <c r="B121" s="53">
        <v>34819.0</v>
      </c>
      <c r="C121" s="90">
        <v>99.2694</v>
      </c>
      <c r="D121" s="90"/>
    </row>
    <row r="122">
      <c r="B122" s="53">
        <v>34850.0</v>
      </c>
      <c r="C122" s="90">
        <v>99.1055</v>
      </c>
      <c r="D122" s="90"/>
    </row>
    <row r="123">
      <c r="B123" s="53">
        <v>34880.0</v>
      </c>
      <c r="C123" s="90">
        <v>99.013</v>
      </c>
      <c r="D123" s="90">
        <f>ROUND(SUM(C121:C123)/3, 4)</f>
        <v>99.1293</v>
      </c>
    </row>
    <row r="124">
      <c r="B124" s="53">
        <v>34911.0</v>
      </c>
      <c r="C124" s="90">
        <v>98.9627</v>
      </c>
      <c r="D124" s="90"/>
    </row>
    <row r="125">
      <c r="B125" s="53">
        <v>34942.0</v>
      </c>
      <c r="C125" s="90">
        <v>98.9203</v>
      </c>
      <c r="D125" s="90"/>
    </row>
    <row r="126">
      <c r="B126" s="53">
        <v>34972.0</v>
      </c>
      <c r="C126" s="90">
        <v>98.8629</v>
      </c>
      <c r="D126" s="90">
        <f>ROUND(SUM(C124:C126)/3, 4)</f>
        <v>98.9153</v>
      </c>
    </row>
    <row r="127">
      <c r="B127" s="53">
        <v>35003.0</v>
      </c>
      <c r="C127" s="90">
        <v>98.7994</v>
      </c>
      <c r="D127" s="90"/>
    </row>
    <row r="128">
      <c r="B128" s="53">
        <v>35033.0</v>
      </c>
      <c r="C128" s="90">
        <v>98.7649</v>
      </c>
      <c r="D128" s="90"/>
    </row>
    <row r="129">
      <c r="B129" s="53">
        <v>35064.0</v>
      </c>
      <c r="C129" s="90">
        <v>98.7771</v>
      </c>
      <c r="D129" s="90">
        <f>ROUND(SUM(C127:C129)/3, 4)</f>
        <v>98.7805</v>
      </c>
    </row>
    <row r="130">
      <c r="A130" s="17">
        <v>96.0</v>
      </c>
      <c r="B130" s="53">
        <v>35095.0</v>
      </c>
      <c r="C130" s="90">
        <v>98.8124</v>
      </c>
      <c r="D130" s="90"/>
    </row>
    <row r="131">
      <c r="B131" s="53">
        <v>35123.0</v>
      </c>
      <c r="C131" s="90">
        <v>98.8444</v>
      </c>
      <c r="D131" s="90"/>
    </row>
    <row r="132">
      <c r="B132" s="53">
        <v>35155.0</v>
      </c>
      <c r="C132" s="90">
        <v>98.8548</v>
      </c>
      <c r="D132" s="90">
        <f>ROUND(SUM(C130:C132)/3, 4)</f>
        <v>98.8372</v>
      </c>
    </row>
    <row r="133">
      <c r="B133" s="53">
        <v>35185.0</v>
      </c>
      <c r="C133" s="90">
        <v>98.8486</v>
      </c>
      <c r="D133" s="90"/>
    </row>
    <row r="134">
      <c r="B134" s="53">
        <v>35216.0</v>
      </c>
      <c r="C134" s="90">
        <v>98.8466</v>
      </c>
      <c r="D134" s="90"/>
    </row>
    <row r="135">
      <c r="B135" s="53">
        <v>35246.0</v>
      </c>
      <c r="C135" s="90">
        <v>98.8601</v>
      </c>
      <c r="D135" s="90">
        <f>ROUND(SUM(C133:C135)/3, 4)</f>
        <v>98.8518</v>
      </c>
    </row>
    <row r="136">
      <c r="B136" s="53">
        <v>35277.0</v>
      </c>
      <c r="C136" s="90">
        <v>98.8958</v>
      </c>
      <c r="D136" s="90"/>
    </row>
    <row r="137">
      <c r="B137" s="53">
        <v>35308.0</v>
      </c>
      <c r="C137" s="90">
        <v>98.9569</v>
      </c>
      <c r="D137" s="90"/>
    </row>
    <row r="138">
      <c r="B138" s="53">
        <v>35338.0</v>
      </c>
      <c r="C138" s="90">
        <v>99.041</v>
      </c>
      <c r="D138" s="90">
        <f>ROUND(SUM(C136:C138)/3, 4)</f>
        <v>98.9646</v>
      </c>
    </row>
    <row r="139">
      <c r="B139" s="53">
        <v>35369.0</v>
      </c>
      <c r="C139" s="90">
        <v>99.143</v>
      </c>
      <c r="D139" s="90"/>
    </row>
    <row r="140">
      <c r="B140" s="53">
        <v>35399.0</v>
      </c>
      <c r="C140" s="90">
        <v>99.2447</v>
      </c>
      <c r="D140" s="90"/>
    </row>
    <row r="141">
      <c r="B141" s="53">
        <v>35430.0</v>
      </c>
      <c r="C141" s="90">
        <v>99.3384</v>
      </c>
      <c r="D141" s="90">
        <f>ROUND(SUM(C139:C141)/3, 4)</f>
        <v>99.242</v>
      </c>
    </row>
    <row r="142">
      <c r="A142" s="17">
        <v>97.0</v>
      </c>
      <c r="B142" s="53">
        <v>35461.0</v>
      </c>
      <c r="C142" s="90">
        <v>99.4311</v>
      </c>
      <c r="D142" s="90"/>
    </row>
    <row r="143">
      <c r="B143" s="53">
        <v>35489.0</v>
      </c>
      <c r="C143" s="90">
        <v>99.5154</v>
      </c>
      <c r="D143" s="90"/>
    </row>
    <row r="144">
      <c r="B144" s="53">
        <v>35520.0</v>
      </c>
      <c r="C144" s="90">
        <v>99.6</v>
      </c>
      <c r="D144" s="90">
        <f>ROUND(SUM(C142:C144)/3, 4)</f>
        <v>99.5155</v>
      </c>
    </row>
    <row r="145">
      <c r="B145" s="53">
        <v>35550.0</v>
      </c>
      <c r="C145" s="90">
        <v>99.7085</v>
      </c>
      <c r="D145" s="90"/>
    </row>
    <row r="146">
      <c r="B146" s="53">
        <v>35581.0</v>
      </c>
      <c r="C146" s="90">
        <v>99.8444</v>
      </c>
      <c r="D146" s="90"/>
    </row>
    <row r="147">
      <c r="B147" s="53">
        <v>35611.0</v>
      </c>
      <c r="C147" s="90">
        <v>99.9963</v>
      </c>
      <c r="D147" s="90">
        <f>ROUND(SUM(C145:C147)/3, 4)</f>
        <v>99.8497</v>
      </c>
    </row>
    <row r="148">
      <c r="B148" s="53">
        <v>35642.0</v>
      </c>
      <c r="C148" s="90">
        <v>100.155</v>
      </c>
      <c r="D148" s="90"/>
    </row>
    <row r="149">
      <c r="B149" s="53">
        <v>35673.0</v>
      </c>
      <c r="C149" s="90">
        <v>100.2925</v>
      </c>
      <c r="D149" s="90"/>
    </row>
    <row r="150">
      <c r="B150" s="53">
        <v>35703.0</v>
      </c>
      <c r="C150" s="90">
        <v>100.3832</v>
      </c>
      <c r="D150" s="90">
        <f>ROUND(SUM(C148:C150)/3, 4)</f>
        <v>100.2769</v>
      </c>
    </row>
    <row r="151">
      <c r="B151" s="53">
        <v>35734.0</v>
      </c>
      <c r="C151" s="90">
        <v>100.4257</v>
      </c>
      <c r="D151" s="90"/>
    </row>
    <row r="152">
      <c r="B152" s="53">
        <v>35764.0</v>
      </c>
      <c r="C152" s="90">
        <v>100.423</v>
      </c>
      <c r="D152" s="90"/>
    </row>
    <row r="153">
      <c r="B153" s="53">
        <v>35795.0</v>
      </c>
      <c r="C153" s="90">
        <v>100.3783</v>
      </c>
      <c r="D153" s="90">
        <f>ROUND(SUM(C151:C153)/3, 4)</f>
        <v>100.409</v>
      </c>
    </row>
    <row r="154">
      <c r="A154" s="17">
        <v>98.0</v>
      </c>
      <c r="B154" s="53">
        <v>35826.0</v>
      </c>
      <c r="C154" s="90">
        <v>100.2981</v>
      </c>
      <c r="D154" s="90"/>
    </row>
    <row r="155">
      <c r="B155" s="53">
        <v>35854.0</v>
      </c>
      <c r="C155" s="90">
        <v>100.1793</v>
      </c>
      <c r="D155" s="90"/>
    </row>
    <row r="156">
      <c r="B156" s="53">
        <v>35885.0</v>
      </c>
      <c r="C156" s="90">
        <v>100.0296</v>
      </c>
      <c r="D156" s="90">
        <f>ROUND(SUM(C154:C156)/3, 4)</f>
        <v>100.169</v>
      </c>
    </row>
    <row r="157">
      <c r="B157" s="53">
        <v>35915.0</v>
      </c>
      <c r="C157" s="90">
        <v>99.8705</v>
      </c>
      <c r="D157" s="90"/>
    </row>
    <row r="158">
      <c r="B158" s="53">
        <v>35946.0</v>
      </c>
      <c r="C158" s="90">
        <v>99.7239</v>
      </c>
      <c r="D158" s="90"/>
    </row>
    <row r="159">
      <c r="B159" s="53">
        <v>35976.0</v>
      </c>
      <c r="C159" s="90">
        <v>99.6273</v>
      </c>
      <c r="D159" s="90">
        <f>ROUND(SUM(C157:C159)/3, 4)</f>
        <v>99.7406</v>
      </c>
    </row>
    <row r="160">
      <c r="B160" s="53">
        <v>36007.0</v>
      </c>
      <c r="C160" s="90">
        <v>99.5946</v>
      </c>
      <c r="D160" s="90"/>
    </row>
    <row r="161">
      <c r="B161" s="53">
        <v>36038.0</v>
      </c>
      <c r="C161" s="90">
        <v>99.6307</v>
      </c>
      <c r="D161" s="90"/>
    </row>
    <row r="162">
      <c r="B162" s="53">
        <v>36068.0</v>
      </c>
      <c r="C162" s="90">
        <v>99.7327</v>
      </c>
      <c r="D162" s="90">
        <f>ROUND(SUM(C160:C162)/3, 4)</f>
        <v>99.6527</v>
      </c>
    </row>
    <row r="163">
      <c r="B163" s="53">
        <v>36099.0</v>
      </c>
      <c r="C163" s="90">
        <v>99.8848</v>
      </c>
      <c r="D163" s="90"/>
    </row>
    <row r="164">
      <c r="B164" s="53">
        <v>36129.0</v>
      </c>
      <c r="C164" s="90">
        <v>100.0583</v>
      </c>
      <c r="D164" s="90"/>
    </row>
    <row r="165">
      <c r="B165" s="53">
        <v>36160.0</v>
      </c>
      <c r="C165" s="90">
        <v>100.2218</v>
      </c>
      <c r="D165" s="90">
        <f>ROUND(SUM(C163:C165)/3, 4)</f>
        <v>100.055</v>
      </c>
    </row>
    <row r="166">
      <c r="A166" s="17">
        <v>99.0</v>
      </c>
      <c r="B166" s="53">
        <v>36191.0</v>
      </c>
      <c r="C166" s="90">
        <v>100.3517</v>
      </c>
      <c r="D166" s="90"/>
    </row>
    <row r="167">
      <c r="B167" s="53">
        <v>36219.0</v>
      </c>
      <c r="C167" s="90">
        <v>100.4537</v>
      </c>
      <c r="D167" s="90"/>
    </row>
    <row r="168">
      <c r="B168" s="53">
        <v>36250.0</v>
      </c>
      <c r="C168" s="90">
        <v>100.5388</v>
      </c>
      <c r="D168" s="90">
        <f>ROUND(SUM(C166:C168)/3, 4)</f>
        <v>100.4481</v>
      </c>
    </row>
    <row r="169">
      <c r="B169" s="53">
        <v>36280.0</v>
      </c>
      <c r="C169" s="90">
        <v>100.6162</v>
      </c>
      <c r="D169" s="90"/>
    </row>
    <row r="170">
      <c r="B170" s="53">
        <v>36311.0</v>
      </c>
      <c r="C170" s="90">
        <v>100.6836</v>
      </c>
      <c r="D170" s="90"/>
    </row>
    <row r="171">
      <c r="B171" s="53">
        <v>36341.0</v>
      </c>
      <c r="C171" s="90">
        <v>100.7434</v>
      </c>
      <c r="D171" s="90">
        <f>ROUND(SUM(C169:C171)/3, 4)</f>
        <v>100.6811</v>
      </c>
    </row>
    <row r="172">
      <c r="B172" s="53">
        <v>36372.0</v>
      </c>
      <c r="C172" s="90">
        <v>100.7853</v>
      </c>
      <c r="D172" s="90"/>
    </row>
    <row r="173">
      <c r="B173" s="53">
        <v>36403.0</v>
      </c>
      <c r="C173" s="90">
        <v>100.8023</v>
      </c>
      <c r="D173" s="90"/>
    </row>
    <row r="174">
      <c r="B174" s="53">
        <v>36433.0</v>
      </c>
      <c r="C174" s="90">
        <v>100.7999</v>
      </c>
      <c r="D174" s="90">
        <f>ROUND(SUM(C172:C174)/3, 4)</f>
        <v>100.7958</v>
      </c>
    </row>
    <row r="175">
      <c r="B175" s="53">
        <v>36464.0</v>
      </c>
      <c r="C175" s="90">
        <v>100.7886</v>
      </c>
      <c r="D175" s="90"/>
    </row>
    <row r="176">
      <c r="B176" s="53">
        <v>36494.0</v>
      </c>
      <c r="C176" s="90">
        <v>100.7669</v>
      </c>
      <c r="D176" s="90"/>
    </row>
    <row r="177">
      <c r="B177" s="53">
        <v>36525.0</v>
      </c>
      <c r="C177" s="90">
        <v>100.7065</v>
      </c>
      <c r="D177" s="90">
        <f>ROUND(SUM(C175:C177)/3, 4)</f>
        <v>100.754</v>
      </c>
    </row>
    <row r="178">
      <c r="A178" s="17">
        <v>2000.0</v>
      </c>
      <c r="B178" s="53">
        <v>36556.0</v>
      </c>
      <c r="C178" s="90">
        <v>100.5954</v>
      </c>
      <c r="D178" s="90"/>
    </row>
    <row r="179">
      <c r="B179" s="53">
        <v>36584.0</v>
      </c>
      <c r="C179" s="90">
        <v>100.4344</v>
      </c>
      <c r="D179" s="90"/>
    </row>
    <row r="180">
      <c r="B180" s="53">
        <v>36616.0</v>
      </c>
      <c r="C180" s="90">
        <v>100.2229</v>
      </c>
      <c r="D180" s="90">
        <f>ROUND(SUM(C178:C180)/3, 4)</f>
        <v>100.4176</v>
      </c>
    </row>
    <row r="181">
      <c r="B181" s="53">
        <v>36646.0</v>
      </c>
      <c r="C181" s="90">
        <v>99.9885</v>
      </c>
      <c r="D181" s="90"/>
    </row>
    <row r="182">
      <c r="B182" s="53">
        <v>36677.0</v>
      </c>
      <c r="C182" s="90">
        <v>99.762</v>
      </c>
      <c r="D182" s="90"/>
    </row>
    <row r="183">
      <c r="B183" s="53">
        <v>36707.0</v>
      </c>
      <c r="C183" s="90">
        <v>99.5682</v>
      </c>
      <c r="D183" s="90">
        <f>ROUND(SUM(C181:C183)/3, 4)</f>
        <v>99.7729</v>
      </c>
    </row>
    <row r="184">
      <c r="B184" s="53">
        <v>36738.0</v>
      </c>
      <c r="C184" s="90">
        <v>99.406</v>
      </c>
      <c r="D184" s="90"/>
    </row>
    <row r="185">
      <c r="B185" s="53">
        <v>36769.0</v>
      </c>
      <c r="C185" s="90">
        <v>99.2563</v>
      </c>
      <c r="D185" s="90"/>
    </row>
    <row r="186">
      <c r="B186" s="53">
        <v>36799.0</v>
      </c>
      <c r="C186" s="90">
        <v>99.1096</v>
      </c>
      <c r="D186" s="90">
        <f>ROUND(SUM(C184:C186)/3, 4)</f>
        <v>99.2573</v>
      </c>
    </row>
    <row r="187">
      <c r="B187" s="53">
        <v>36830.0</v>
      </c>
      <c r="C187" s="90">
        <v>98.9792</v>
      </c>
      <c r="D187" s="90"/>
    </row>
    <row r="188">
      <c r="B188" s="53">
        <v>36860.0</v>
      </c>
      <c r="C188" s="90">
        <v>98.8968</v>
      </c>
      <c r="D188" s="90"/>
    </row>
    <row r="189">
      <c r="B189" s="53">
        <v>36891.0</v>
      </c>
      <c r="C189" s="90">
        <v>98.8863</v>
      </c>
      <c r="D189" s="90">
        <f>ROUND(SUM(C187:C189)/3, 4)</f>
        <v>98.9208</v>
      </c>
    </row>
    <row r="190">
      <c r="A190" s="17">
        <v>2001.0</v>
      </c>
      <c r="B190" s="53">
        <v>36922.0</v>
      </c>
      <c r="C190" s="90">
        <v>98.9628</v>
      </c>
      <c r="D190" s="90"/>
    </row>
    <row r="191">
      <c r="B191" s="53">
        <v>36950.0</v>
      </c>
      <c r="C191" s="90">
        <v>99.1307</v>
      </c>
      <c r="D191" s="90"/>
    </row>
    <row r="192">
      <c r="B192" s="53">
        <v>36981.0</v>
      </c>
      <c r="C192" s="90">
        <v>99.37</v>
      </c>
      <c r="D192" s="90">
        <f>ROUND(SUM(C190:C192)/3, 4)</f>
        <v>99.1545</v>
      </c>
    </row>
    <row r="193">
      <c r="B193" s="53">
        <v>37011.0</v>
      </c>
      <c r="C193" s="90">
        <v>99.6462</v>
      </c>
      <c r="D193" s="90"/>
    </row>
    <row r="194">
      <c r="B194" s="53">
        <v>37042.0</v>
      </c>
      <c r="C194" s="90">
        <v>99.9155</v>
      </c>
      <c r="D194" s="90"/>
    </row>
    <row r="195">
      <c r="B195" s="53">
        <v>37072.0</v>
      </c>
      <c r="C195" s="90">
        <v>100.133</v>
      </c>
      <c r="D195" s="90">
        <f>ROUND(SUM(C193:C195)/3, 4)</f>
        <v>99.8982</v>
      </c>
    </row>
    <row r="196">
      <c r="B196" s="53">
        <v>37103.0</v>
      </c>
      <c r="C196" s="90">
        <v>100.2957</v>
      </c>
      <c r="D196" s="90"/>
    </row>
    <row r="197">
      <c r="B197" s="53">
        <v>37134.0</v>
      </c>
      <c r="C197" s="90">
        <v>100.4207</v>
      </c>
      <c r="D197" s="90"/>
    </row>
    <row r="198">
      <c r="B198" s="53">
        <v>37164.0</v>
      </c>
      <c r="C198" s="90">
        <v>100.5309</v>
      </c>
      <c r="D198" s="90">
        <f>ROUND(SUM(C196:C198)/3, 4)</f>
        <v>100.4158</v>
      </c>
    </row>
    <row r="199">
      <c r="B199" s="53">
        <v>37195.0</v>
      </c>
      <c r="C199" s="90">
        <v>100.6398</v>
      </c>
      <c r="D199" s="90"/>
    </row>
    <row r="200">
      <c r="B200" s="53">
        <v>37225.0</v>
      </c>
      <c r="C200" s="90">
        <v>100.7482</v>
      </c>
      <c r="D200" s="90"/>
    </row>
    <row r="201">
      <c r="B201" s="53">
        <v>37256.0</v>
      </c>
      <c r="C201" s="90">
        <v>100.842</v>
      </c>
      <c r="D201" s="90">
        <f>ROUND(SUM(C199:C201)/3, 4)</f>
        <v>100.7433</v>
      </c>
    </row>
    <row r="202">
      <c r="A202" s="17">
        <v>2002.0</v>
      </c>
      <c r="B202" s="53">
        <v>37287.0</v>
      </c>
      <c r="C202" s="90">
        <v>100.9106</v>
      </c>
      <c r="D202" s="90"/>
    </row>
    <row r="203">
      <c r="B203" s="53">
        <v>37315.0</v>
      </c>
      <c r="C203" s="90">
        <v>100.9401</v>
      </c>
      <c r="D203" s="90"/>
    </row>
    <row r="204">
      <c r="B204" s="53">
        <v>37346.0</v>
      </c>
      <c r="C204" s="90">
        <v>100.9242</v>
      </c>
      <c r="D204" s="90">
        <f>ROUND(SUM(C202:C204)/3, 4)</f>
        <v>100.925</v>
      </c>
    </row>
    <row r="205">
      <c r="B205" s="53">
        <v>37376.0</v>
      </c>
      <c r="C205" s="90">
        <v>100.8507</v>
      </c>
      <c r="D205" s="90"/>
    </row>
    <row r="206">
      <c r="B206" s="53">
        <v>37407.0</v>
      </c>
      <c r="C206" s="90">
        <v>100.7155</v>
      </c>
      <c r="D206" s="90"/>
    </row>
    <row r="207">
      <c r="B207" s="53">
        <v>37437.0</v>
      </c>
      <c r="C207" s="90">
        <v>100.5379</v>
      </c>
      <c r="D207" s="90">
        <f>ROUND(SUM(C205:C207)/3, 4)</f>
        <v>100.7014</v>
      </c>
    </row>
    <row r="208">
      <c r="B208" s="53">
        <v>37468.0</v>
      </c>
      <c r="C208" s="90">
        <v>100.3572</v>
      </c>
      <c r="D208" s="90"/>
    </row>
    <row r="209">
      <c r="B209" s="53">
        <v>37499.0</v>
      </c>
      <c r="C209" s="90">
        <v>100.2139</v>
      </c>
      <c r="D209" s="90"/>
    </row>
    <row r="210">
      <c r="B210" s="53">
        <v>37529.0</v>
      </c>
      <c r="C210" s="90">
        <v>100.1233</v>
      </c>
      <c r="D210" s="90">
        <f>ROUND(SUM(C208:C210)/3, 4)</f>
        <v>100.2315</v>
      </c>
    </row>
    <row r="211">
      <c r="B211" s="53">
        <v>37560.0</v>
      </c>
      <c r="C211" s="90">
        <v>100.0859</v>
      </c>
      <c r="D211" s="90"/>
    </row>
    <row r="212">
      <c r="B212" s="53">
        <v>37590.0</v>
      </c>
      <c r="C212" s="90">
        <v>100.076</v>
      </c>
      <c r="D212" s="90"/>
    </row>
    <row r="213">
      <c r="B213" s="53">
        <v>37621.0</v>
      </c>
      <c r="C213" s="90">
        <v>100.0702</v>
      </c>
      <c r="D213" s="90">
        <f>ROUND(SUM(C211:C213)/3, 4)</f>
        <v>100.0774</v>
      </c>
    </row>
    <row r="214">
      <c r="A214" s="17">
        <v>2003.0</v>
      </c>
      <c r="B214" s="53">
        <v>37652.0</v>
      </c>
      <c r="C214" s="90">
        <v>100.0548</v>
      </c>
      <c r="D214" s="90"/>
    </row>
    <row r="215">
      <c r="B215" s="53">
        <v>37680.0</v>
      </c>
      <c r="C215" s="90">
        <v>100.0086</v>
      </c>
      <c r="D215" s="90"/>
    </row>
    <row r="216">
      <c r="B216" s="53">
        <v>37711.0</v>
      </c>
      <c r="C216" s="90">
        <v>99.9374</v>
      </c>
      <c r="D216" s="90">
        <f>ROUND(SUM(C214:C216)/3, 4)</f>
        <v>100.0003</v>
      </c>
    </row>
    <row r="217">
      <c r="B217" s="53">
        <v>37741.0</v>
      </c>
      <c r="C217" s="90">
        <v>99.8616</v>
      </c>
      <c r="D217" s="90"/>
    </row>
    <row r="218">
      <c r="B218" s="53">
        <v>37772.0</v>
      </c>
      <c r="C218" s="90">
        <v>99.8092</v>
      </c>
      <c r="D218" s="90"/>
    </row>
    <row r="219">
      <c r="B219" s="53">
        <v>37802.0</v>
      </c>
      <c r="C219" s="90">
        <v>99.787</v>
      </c>
      <c r="D219" s="90">
        <f>ROUND(SUM(C217:C219)/3, 4)</f>
        <v>99.8193</v>
      </c>
    </row>
    <row r="220">
      <c r="B220" s="53">
        <v>37833.0</v>
      </c>
      <c r="C220" s="90">
        <v>99.7865</v>
      </c>
      <c r="D220" s="90"/>
    </row>
    <row r="221">
      <c r="B221" s="53">
        <v>37864.0</v>
      </c>
      <c r="C221" s="90">
        <v>99.7952</v>
      </c>
      <c r="D221" s="90"/>
    </row>
    <row r="222">
      <c r="B222" s="53">
        <v>37894.0</v>
      </c>
      <c r="C222" s="90">
        <v>99.8064</v>
      </c>
      <c r="D222" s="90">
        <f>ROUND(SUM(C220:C222)/3, 4)</f>
        <v>99.796</v>
      </c>
    </row>
    <row r="223">
      <c r="B223" s="53">
        <v>37925.0</v>
      </c>
      <c r="C223" s="90">
        <v>99.8075</v>
      </c>
      <c r="D223" s="90"/>
    </row>
    <row r="224">
      <c r="B224" s="53">
        <v>37955.0</v>
      </c>
      <c r="C224" s="90">
        <v>99.7967</v>
      </c>
      <c r="D224" s="90"/>
    </row>
    <row r="225">
      <c r="B225" s="53">
        <v>37986.0</v>
      </c>
      <c r="C225" s="90">
        <v>99.7822</v>
      </c>
      <c r="D225" s="90">
        <f>ROUND(SUM(C223:C225)/3, 4)</f>
        <v>99.7955</v>
      </c>
    </row>
    <row r="226">
      <c r="A226" s="17">
        <v>2004.0</v>
      </c>
      <c r="B226" s="53">
        <v>38017.0</v>
      </c>
      <c r="C226" s="90">
        <v>99.7795</v>
      </c>
      <c r="D226" s="90"/>
    </row>
    <row r="227">
      <c r="B227" s="53">
        <v>38046.0</v>
      </c>
      <c r="C227" s="90">
        <v>99.7933</v>
      </c>
      <c r="D227" s="90"/>
    </row>
    <row r="228">
      <c r="B228" s="53">
        <v>38077.0</v>
      </c>
      <c r="C228" s="90">
        <v>99.8197</v>
      </c>
      <c r="D228" s="90">
        <f>ROUND(SUM(C226:C228)/3, 4)</f>
        <v>99.7975</v>
      </c>
    </row>
    <row r="229">
      <c r="B229" s="53">
        <v>38107.0</v>
      </c>
      <c r="C229" s="90">
        <v>99.8493</v>
      </c>
      <c r="D229" s="90"/>
    </row>
    <row r="230">
      <c r="B230" s="53">
        <v>38138.0</v>
      </c>
      <c r="C230" s="90">
        <v>99.8782</v>
      </c>
      <c r="D230" s="90"/>
    </row>
    <row r="231">
      <c r="B231" s="53">
        <v>38168.0</v>
      </c>
      <c r="C231" s="90">
        <v>99.904</v>
      </c>
      <c r="D231" s="90">
        <f>ROUND(SUM(C229:C231)/3, 4)</f>
        <v>99.8772</v>
      </c>
    </row>
    <row r="232">
      <c r="B232" s="53">
        <v>38199.0</v>
      </c>
      <c r="C232" s="90">
        <v>99.9348</v>
      </c>
      <c r="D232" s="90"/>
    </row>
    <row r="233">
      <c r="B233" s="53">
        <v>38230.0</v>
      </c>
      <c r="C233" s="90">
        <v>99.9832</v>
      </c>
      <c r="D233" s="90"/>
    </row>
    <row r="234">
      <c r="B234" s="53">
        <v>38260.0</v>
      </c>
      <c r="C234" s="90">
        <v>100.0445</v>
      </c>
      <c r="D234" s="90">
        <f>ROUND(SUM(C232:C234)/3, 4)</f>
        <v>99.9875</v>
      </c>
    </row>
    <row r="235">
      <c r="B235" s="53">
        <v>38291.0</v>
      </c>
      <c r="C235" s="90">
        <v>100.1024</v>
      </c>
      <c r="D235" s="90"/>
    </row>
    <row r="236">
      <c r="B236" s="53">
        <v>38321.0</v>
      </c>
      <c r="C236" s="90">
        <v>100.1313</v>
      </c>
      <c r="D236" s="90"/>
    </row>
    <row r="237">
      <c r="B237" s="53">
        <v>38352.0</v>
      </c>
      <c r="C237" s="90">
        <v>100.1146</v>
      </c>
      <c r="D237" s="90">
        <f>ROUND(SUM(C235:C237)/3, 4)</f>
        <v>100.1161</v>
      </c>
    </row>
    <row r="238">
      <c r="B238" s="53">
        <v>38383.0</v>
      </c>
      <c r="C238" s="90">
        <v>100.0589</v>
      </c>
      <c r="D238" s="90"/>
    </row>
    <row r="239">
      <c r="B239" s="53">
        <v>38411.0</v>
      </c>
      <c r="C239" s="90">
        <v>99.9858</v>
      </c>
      <c r="D239" s="90"/>
    </row>
    <row r="240">
      <c r="B240" s="53">
        <v>38442.0</v>
      </c>
      <c r="C240" s="90">
        <v>99.9269</v>
      </c>
      <c r="D240" s="90">
        <f>ROUND(SUM(C238:C240)/3, 4)</f>
        <v>99.9905</v>
      </c>
    </row>
    <row r="241">
      <c r="B241" s="53">
        <v>38472.0</v>
      </c>
      <c r="C241" s="90">
        <v>99.8957</v>
      </c>
      <c r="D241" s="90"/>
    </row>
    <row r="242">
      <c r="B242" s="53">
        <v>38503.0</v>
      </c>
      <c r="C242" s="90">
        <v>99.8754</v>
      </c>
      <c r="D242" s="90"/>
    </row>
    <row r="243">
      <c r="B243" s="53">
        <v>38533.0</v>
      </c>
      <c r="C243" s="90">
        <v>99.8499</v>
      </c>
      <c r="D243" s="90">
        <f>ROUND(SUM(C241:C243)/3, 4)</f>
        <v>99.8737</v>
      </c>
    </row>
    <row r="244">
      <c r="B244" s="53">
        <v>38564.0</v>
      </c>
      <c r="C244" s="90">
        <v>99.8213</v>
      </c>
      <c r="D244" s="90"/>
    </row>
    <row r="245">
      <c r="B245" s="53">
        <v>38595.0</v>
      </c>
      <c r="C245" s="90">
        <v>99.8045</v>
      </c>
      <c r="D245" s="90"/>
    </row>
    <row r="246">
      <c r="B246" s="53">
        <v>38625.0</v>
      </c>
      <c r="C246" s="90">
        <v>99.8114</v>
      </c>
      <c r="D246" s="90">
        <f>ROUND(SUM(C244:C246)/3, 4)</f>
        <v>99.8124</v>
      </c>
    </row>
    <row r="247">
      <c r="B247" s="53">
        <v>38656.0</v>
      </c>
      <c r="C247" s="90">
        <v>99.8353</v>
      </c>
      <c r="D247" s="90"/>
    </row>
    <row r="248">
      <c r="B248" s="53">
        <v>38686.0</v>
      </c>
      <c r="C248" s="90">
        <v>99.8601</v>
      </c>
      <c r="D248" s="90"/>
    </row>
    <row r="249">
      <c r="B249" s="53">
        <v>38717.0</v>
      </c>
      <c r="C249" s="90">
        <v>99.8747</v>
      </c>
      <c r="D249" s="90">
        <f>ROUND(SUM(C247:C249)/3, 4)</f>
        <v>99.8567</v>
      </c>
    </row>
    <row r="250">
      <c r="B250" s="53">
        <v>38748.0</v>
      </c>
      <c r="C250" s="90">
        <v>99.8698</v>
      </c>
      <c r="D250" s="90"/>
    </row>
    <row r="251">
      <c r="B251" s="53">
        <v>38776.0</v>
      </c>
      <c r="C251" s="90">
        <v>99.8558</v>
      </c>
      <c r="D251" s="90"/>
    </row>
    <row r="252">
      <c r="B252" s="53">
        <v>38807.0</v>
      </c>
      <c r="C252" s="90">
        <v>99.8376</v>
      </c>
      <c r="D252" s="90">
        <f>ROUND(SUM(C250:C252)/3, 4)</f>
        <v>99.8544</v>
      </c>
    </row>
    <row r="253">
      <c r="B253" s="53">
        <v>38837.0</v>
      </c>
      <c r="C253" s="90">
        <v>99.8367</v>
      </c>
      <c r="D253" s="90"/>
    </row>
    <row r="254">
      <c r="B254" s="53">
        <v>38868.0</v>
      </c>
      <c r="C254" s="90">
        <v>99.8897</v>
      </c>
      <c r="D254" s="90"/>
    </row>
    <row r="255">
      <c r="B255" s="53">
        <v>38898.0</v>
      </c>
      <c r="C255" s="90">
        <v>100.0097</v>
      </c>
      <c r="D255" s="90">
        <f>ROUND(SUM(C253:C255)/3, 4)</f>
        <v>99.912</v>
      </c>
    </row>
    <row r="256">
      <c r="B256" s="53">
        <v>38929.0</v>
      </c>
      <c r="C256" s="90">
        <v>100.1728</v>
      </c>
      <c r="D256" s="90"/>
    </row>
    <row r="257">
      <c r="B257" s="53">
        <v>38960.0</v>
      </c>
      <c r="C257" s="90">
        <v>100.3431</v>
      </c>
      <c r="D257" s="90"/>
    </row>
    <row r="258">
      <c r="B258" s="53">
        <v>38990.0</v>
      </c>
      <c r="C258" s="90">
        <v>100.4978</v>
      </c>
      <c r="D258" s="90">
        <f>ROUND(SUM(C256:C258)/3, 4)</f>
        <v>100.3379</v>
      </c>
    </row>
    <row r="259">
      <c r="B259" s="53">
        <v>39021.0</v>
      </c>
      <c r="C259" s="90">
        <v>100.6245</v>
      </c>
      <c r="D259" s="90"/>
    </row>
    <row r="260">
      <c r="B260" s="53">
        <v>39051.0</v>
      </c>
      <c r="C260" s="90">
        <v>100.7166</v>
      </c>
      <c r="D260" s="90"/>
    </row>
    <row r="261">
      <c r="B261" s="53">
        <v>39082.0</v>
      </c>
      <c r="C261" s="90">
        <v>100.7698</v>
      </c>
      <c r="D261" s="90">
        <f>ROUND(SUM(C259:C261)/3, 4)</f>
        <v>100.7036</v>
      </c>
    </row>
    <row r="262">
      <c r="B262" s="53">
        <v>39113.0</v>
      </c>
      <c r="C262" s="90">
        <v>100.8015</v>
      </c>
      <c r="D262" s="90"/>
    </row>
    <row r="263">
      <c r="B263" s="53">
        <v>39141.0</v>
      </c>
      <c r="C263" s="90">
        <v>100.8227</v>
      </c>
      <c r="D263" s="90"/>
    </row>
    <row r="264">
      <c r="B264" s="53">
        <v>39172.0</v>
      </c>
      <c r="C264" s="90">
        <v>100.8376</v>
      </c>
      <c r="D264" s="90">
        <f>ROUND(SUM(C262:C264)/3, 4)</f>
        <v>100.8206</v>
      </c>
    </row>
    <row r="265">
      <c r="B265" s="53">
        <v>39202.0</v>
      </c>
      <c r="C265" s="90">
        <v>100.8548</v>
      </c>
      <c r="D265" s="90"/>
    </row>
    <row r="266">
      <c r="B266" s="53">
        <v>39233.0</v>
      </c>
      <c r="C266" s="90">
        <v>100.8747</v>
      </c>
      <c r="D266" s="90"/>
    </row>
    <row r="267">
      <c r="B267" s="53">
        <v>39263.0</v>
      </c>
      <c r="C267" s="90">
        <v>100.8933</v>
      </c>
      <c r="D267" s="90">
        <f>ROUND(SUM(C265:C267)/3, 4)</f>
        <v>100.8743</v>
      </c>
    </row>
    <row r="268">
      <c r="B268" s="53">
        <v>39294.0</v>
      </c>
      <c r="C268" s="90">
        <v>100.9185</v>
      </c>
      <c r="D268" s="90"/>
    </row>
    <row r="269">
      <c r="B269" s="53">
        <v>39325.0</v>
      </c>
      <c r="C269" s="90">
        <v>100.9495</v>
      </c>
      <c r="D269" s="90"/>
    </row>
    <row r="270">
      <c r="B270" s="53">
        <v>39355.0</v>
      </c>
      <c r="C270" s="90">
        <v>100.9865</v>
      </c>
      <c r="D270" s="90">
        <f>ROUND(SUM(C268:C270)/3, 4)</f>
        <v>100.9515</v>
      </c>
    </row>
    <row r="271">
      <c r="B271" s="53">
        <v>39386.0</v>
      </c>
      <c r="C271" s="90">
        <v>101.0053</v>
      </c>
      <c r="D271" s="90"/>
    </row>
    <row r="272">
      <c r="B272" s="53">
        <v>39416.0</v>
      </c>
      <c r="C272" s="90">
        <v>100.9767</v>
      </c>
      <c r="D272" s="90"/>
    </row>
    <row r="273">
      <c r="B273" s="53">
        <v>39447.0</v>
      </c>
      <c r="C273" s="90">
        <v>100.8834</v>
      </c>
      <c r="D273" s="90">
        <f>ROUND(SUM(C271:C273)/3, 4)</f>
        <v>100.9551</v>
      </c>
    </row>
    <row r="274">
      <c r="B274" s="53">
        <v>39478.0</v>
      </c>
      <c r="C274" s="90">
        <v>100.7413</v>
      </c>
      <c r="D274" s="90"/>
    </row>
    <row r="275">
      <c r="B275" s="53">
        <v>39507.0</v>
      </c>
      <c r="C275" s="90">
        <v>100.5876</v>
      </c>
      <c r="D275" s="90"/>
    </row>
    <row r="276">
      <c r="B276" s="53">
        <v>39538.0</v>
      </c>
      <c r="C276" s="90">
        <v>100.4547</v>
      </c>
      <c r="D276" s="90">
        <f>ROUND(SUM(C274:C276)/3, 4)</f>
        <v>100.5945</v>
      </c>
    </row>
    <row r="277">
      <c r="B277" s="53">
        <v>39568.0</v>
      </c>
      <c r="C277" s="90">
        <v>100.345</v>
      </c>
      <c r="D277" s="90"/>
    </row>
    <row r="278">
      <c r="B278" s="53">
        <v>39599.0</v>
      </c>
      <c r="C278" s="90">
        <v>100.2238</v>
      </c>
      <c r="D278" s="90"/>
    </row>
    <row r="279">
      <c r="B279" s="53">
        <v>39629.0</v>
      </c>
      <c r="C279" s="90">
        <v>100.0662</v>
      </c>
      <c r="D279" s="90">
        <f>ROUND(SUM(C277:C279)/3, 4)</f>
        <v>100.2117</v>
      </c>
    </row>
    <row r="280">
      <c r="B280" s="53">
        <v>39660.0</v>
      </c>
      <c r="C280" s="90">
        <v>99.8676</v>
      </c>
      <c r="D280" s="90"/>
    </row>
    <row r="281">
      <c r="B281" s="53">
        <v>39691.0</v>
      </c>
      <c r="C281" s="90">
        <v>99.6268</v>
      </c>
      <c r="D281" s="90"/>
    </row>
    <row r="282">
      <c r="B282" s="53">
        <v>39721.0</v>
      </c>
      <c r="C282" s="90">
        <v>99.3317</v>
      </c>
      <c r="D282" s="90">
        <f>ROUND(SUM(C280:C282)/3, 4)</f>
        <v>99.6087</v>
      </c>
    </row>
    <row r="283">
      <c r="B283" s="53">
        <v>39752.0</v>
      </c>
      <c r="C283" s="90">
        <v>98.9955</v>
      </c>
      <c r="D283" s="90"/>
    </row>
    <row r="284">
      <c r="B284" s="53">
        <v>39782.0</v>
      </c>
      <c r="C284" s="90">
        <v>98.6434</v>
      </c>
      <c r="D284" s="90"/>
    </row>
    <row r="285">
      <c r="B285" s="53">
        <v>39813.0</v>
      </c>
      <c r="C285" s="90">
        <v>98.3329</v>
      </c>
      <c r="D285" s="90">
        <f>ROUND(SUM(C283:C285)/3, 4)</f>
        <v>98.6573</v>
      </c>
    </row>
    <row r="286">
      <c r="B286" s="53">
        <v>39844.0</v>
      </c>
      <c r="C286" s="90">
        <v>98.1125</v>
      </c>
      <c r="D286" s="90"/>
    </row>
    <row r="287">
      <c r="B287" s="53">
        <v>39872.0</v>
      </c>
      <c r="C287" s="90">
        <v>98.0047</v>
      </c>
      <c r="D287" s="90"/>
    </row>
    <row r="288">
      <c r="B288" s="53">
        <v>39903.0</v>
      </c>
      <c r="C288" s="90">
        <v>98.0135</v>
      </c>
      <c r="D288" s="90">
        <f>ROUND(SUM(C286:C288)/3, 4)</f>
        <v>98.0436</v>
      </c>
    </row>
    <row r="289">
      <c r="B289" s="53">
        <v>39933.0</v>
      </c>
      <c r="C289" s="90">
        <v>98.1234</v>
      </c>
      <c r="D289" s="90"/>
    </row>
    <row r="290">
      <c r="B290" s="53">
        <v>39964.0</v>
      </c>
      <c r="C290" s="90">
        <v>98.3262</v>
      </c>
      <c r="D290" s="90"/>
    </row>
    <row r="291">
      <c r="B291" s="53">
        <v>39994.0</v>
      </c>
      <c r="C291" s="90">
        <v>98.6048</v>
      </c>
      <c r="D291" s="90">
        <f>ROUND(SUM(C289:C291)/3, 4)</f>
        <v>98.3515</v>
      </c>
    </row>
    <row r="292">
      <c r="B292" s="53">
        <v>40025.0</v>
      </c>
      <c r="C292" s="90">
        <v>98.9359</v>
      </c>
      <c r="D292" s="90"/>
    </row>
    <row r="293">
      <c r="B293" s="53">
        <v>40056.0</v>
      </c>
      <c r="C293" s="90">
        <v>99.2906</v>
      </c>
      <c r="D293" s="90"/>
    </row>
    <row r="294">
      <c r="B294" s="53">
        <v>40086.0</v>
      </c>
      <c r="C294" s="90">
        <v>99.635</v>
      </c>
      <c r="D294" s="90">
        <f>ROUND(SUM(C292:C294)/3, 4)</f>
        <v>99.2872</v>
      </c>
    </row>
    <row r="295">
      <c r="B295" s="53">
        <v>40117.0</v>
      </c>
      <c r="C295" s="90">
        <v>99.9436</v>
      </c>
      <c r="D295" s="90"/>
    </row>
    <row r="296">
      <c r="B296" s="53">
        <v>40147.0</v>
      </c>
      <c r="C296" s="90">
        <v>100.2094</v>
      </c>
      <c r="D296" s="90"/>
    </row>
    <row r="297">
      <c r="B297" s="53">
        <v>40178.0</v>
      </c>
      <c r="C297" s="90">
        <v>100.431</v>
      </c>
      <c r="D297" s="90">
        <f>ROUND(SUM(C295:C297)/3, 4)</f>
        <v>100.1947</v>
      </c>
    </row>
    <row r="298">
      <c r="B298" s="53">
        <v>40209.0</v>
      </c>
      <c r="C298" s="90">
        <v>100.6095</v>
      </c>
      <c r="D298" s="90"/>
    </row>
    <row r="299">
      <c r="B299" s="53">
        <v>40237.0</v>
      </c>
      <c r="C299" s="90">
        <v>100.7347</v>
      </c>
      <c r="D299" s="90"/>
    </row>
    <row r="300">
      <c r="B300" s="53">
        <v>40268.0</v>
      </c>
      <c r="C300" s="90">
        <v>100.8139</v>
      </c>
      <c r="D300" s="90">
        <f>ROUND(SUM(C298:C300)/3, 4)</f>
        <v>100.7194</v>
      </c>
    </row>
    <row r="301">
      <c r="B301" s="53">
        <v>40298.0</v>
      </c>
      <c r="C301" s="90">
        <v>100.8537</v>
      </c>
      <c r="D301" s="90"/>
    </row>
    <row r="302">
      <c r="B302" s="53">
        <v>40329.0</v>
      </c>
      <c r="C302" s="90">
        <v>100.8605</v>
      </c>
      <c r="D302" s="90"/>
    </row>
    <row r="303">
      <c r="B303" s="53">
        <v>40359.0</v>
      </c>
      <c r="C303" s="90">
        <v>100.8448</v>
      </c>
      <c r="D303" s="90">
        <f>ROUND(SUM(C301:C303)/3, 4)</f>
        <v>100.853</v>
      </c>
    </row>
    <row r="304">
      <c r="B304" s="53">
        <v>40390.0</v>
      </c>
      <c r="C304" s="90">
        <v>100.8223</v>
      </c>
      <c r="D304" s="90"/>
    </row>
    <row r="305">
      <c r="B305" s="53">
        <v>40421.0</v>
      </c>
      <c r="C305" s="90">
        <v>100.8153</v>
      </c>
      <c r="D305" s="90"/>
    </row>
    <row r="306">
      <c r="B306" s="53">
        <v>40451.0</v>
      </c>
      <c r="C306" s="90">
        <v>100.8265</v>
      </c>
      <c r="D306" s="90">
        <f>ROUND(SUM(C304:C306)/3, 4)</f>
        <v>100.8214</v>
      </c>
    </row>
    <row r="307">
      <c r="B307" s="53">
        <v>40482.0</v>
      </c>
      <c r="C307" s="90">
        <v>100.846</v>
      </c>
      <c r="D307" s="90"/>
    </row>
    <row r="308">
      <c r="B308" s="53">
        <v>40512.0</v>
      </c>
      <c r="C308" s="90">
        <v>100.8396</v>
      </c>
      <c r="D308" s="90"/>
    </row>
    <row r="309">
      <c r="B309" s="53">
        <v>40543.0</v>
      </c>
      <c r="C309" s="90">
        <v>100.7945</v>
      </c>
      <c r="D309" s="90">
        <f>ROUND(SUM(C307:C309)/3, 4)</f>
        <v>100.8267</v>
      </c>
    </row>
    <row r="310">
      <c r="B310" s="53">
        <v>40574.0</v>
      </c>
      <c r="C310" s="90">
        <v>100.6975</v>
      </c>
      <c r="D310" s="90"/>
    </row>
    <row r="311">
      <c r="B311" s="53">
        <v>40602.0</v>
      </c>
      <c r="C311" s="90">
        <v>100.544</v>
      </c>
      <c r="D311" s="90"/>
    </row>
    <row r="312">
      <c r="B312" s="53">
        <v>40633.0</v>
      </c>
      <c r="C312" s="90">
        <v>100.3479</v>
      </c>
      <c r="D312" s="90">
        <f>ROUND(SUM(C310:C312)/3, 4)</f>
        <v>100.5298</v>
      </c>
    </row>
    <row r="313">
      <c r="B313" s="53">
        <v>40663.0</v>
      </c>
      <c r="C313" s="90">
        <v>100.1208</v>
      </c>
      <c r="D313" s="90"/>
    </row>
    <row r="314">
      <c r="B314" s="53">
        <v>40694.0</v>
      </c>
      <c r="C314" s="90">
        <v>99.8998</v>
      </c>
      <c r="D314" s="90"/>
    </row>
    <row r="315">
      <c r="B315" s="53">
        <v>40724.0</v>
      </c>
      <c r="C315" s="90">
        <v>99.7143</v>
      </c>
      <c r="D315" s="90">
        <f>ROUND(SUM(C313:C315)/3, 4)</f>
        <v>99.9116</v>
      </c>
    </row>
    <row r="316">
      <c r="B316" s="53">
        <v>40755.0</v>
      </c>
      <c r="C316" s="90">
        <v>99.5764</v>
      </c>
      <c r="D316" s="90"/>
    </row>
    <row r="317">
      <c r="B317" s="53">
        <v>40786.0</v>
      </c>
      <c r="C317" s="90">
        <v>99.4848</v>
      </c>
      <c r="D317" s="90"/>
    </row>
    <row r="318">
      <c r="B318" s="53">
        <v>40816.0</v>
      </c>
      <c r="C318" s="90">
        <v>99.416</v>
      </c>
      <c r="D318" s="90">
        <f>ROUND(SUM(C316:C318)/3, 4)</f>
        <v>99.4924</v>
      </c>
    </row>
    <row r="319">
      <c r="B319" s="53">
        <v>40847.0</v>
      </c>
      <c r="C319" s="90">
        <v>99.3677</v>
      </c>
      <c r="D319" s="90"/>
    </row>
    <row r="320">
      <c r="B320" s="53">
        <v>40877.0</v>
      </c>
      <c r="C320" s="90">
        <v>99.3432</v>
      </c>
      <c r="D320" s="90"/>
    </row>
    <row r="321">
      <c r="B321" s="53">
        <v>40908.0</v>
      </c>
      <c r="C321" s="90">
        <v>99.3374</v>
      </c>
      <c r="D321" s="90">
        <f>ROUND(SUM(C319:C321)/3, 4)</f>
        <v>99.3494</v>
      </c>
    </row>
    <row r="322">
      <c r="B322" s="53">
        <v>40939.0</v>
      </c>
      <c r="C322" s="90">
        <v>99.3553</v>
      </c>
      <c r="D322" s="90"/>
    </row>
    <row r="323">
      <c r="B323" s="53">
        <v>40968.0</v>
      </c>
      <c r="C323" s="90">
        <v>99.4107</v>
      </c>
      <c r="D323" s="90"/>
    </row>
    <row r="324">
      <c r="B324" s="53">
        <v>40999.0</v>
      </c>
      <c r="C324" s="90">
        <v>99.5051</v>
      </c>
      <c r="D324" s="90">
        <f>ROUND(SUM(C322:C324)/3, 4)</f>
        <v>99.4237</v>
      </c>
    </row>
    <row r="325">
      <c r="B325" s="53">
        <v>41029.0</v>
      </c>
      <c r="C325" s="90">
        <v>99.6423</v>
      </c>
      <c r="D325" s="90"/>
    </row>
    <row r="326">
      <c r="B326" s="53">
        <v>41060.0</v>
      </c>
      <c r="C326" s="90">
        <v>99.7911</v>
      </c>
      <c r="D326" s="90"/>
    </row>
    <row r="327">
      <c r="B327" s="53">
        <v>41090.0</v>
      </c>
      <c r="C327" s="90">
        <v>99.9151</v>
      </c>
      <c r="D327" s="90">
        <f>ROUND(SUM(C325:C327)/3, 4)</f>
        <v>99.7828</v>
      </c>
    </row>
    <row r="328">
      <c r="B328" s="53">
        <v>41121.0</v>
      </c>
      <c r="C328" s="90">
        <v>99.9888</v>
      </c>
      <c r="D328" s="90"/>
    </row>
    <row r="329">
      <c r="B329" s="53">
        <v>41152.0</v>
      </c>
      <c r="C329" s="90">
        <v>100.0103</v>
      </c>
      <c r="D329" s="90"/>
    </row>
    <row r="330">
      <c r="B330" s="53">
        <v>41182.0</v>
      </c>
      <c r="C330" s="90">
        <v>99.9949</v>
      </c>
      <c r="D330" s="90">
        <f>ROUND(SUM(C328:C330)/3, 4)</f>
        <v>99.998</v>
      </c>
    </row>
    <row r="331">
      <c r="B331" s="53">
        <v>41213.0</v>
      </c>
      <c r="C331" s="90">
        <v>99.9419</v>
      </c>
      <c r="D331" s="90"/>
    </row>
    <row r="332">
      <c r="B332" s="53">
        <v>41243.0</v>
      </c>
      <c r="C332" s="90">
        <v>99.8648</v>
      </c>
      <c r="D332" s="90"/>
    </row>
    <row r="333">
      <c r="B333" s="53">
        <v>41274.0</v>
      </c>
      <c r="C333" s="90">
        <v>99.7833</v>
      </c>
      <c r="D333" s="90">
        <f>ROUND(SUM(C331:C333)/3, 4)</f>
        <v>99.8633</v>
      </c>
    </row>
    <row r="334">
      <c r="B334" s="53">
        <v>41305.0</v>
      </c>
      <c r="C334" s="90">
        <v>99.7112</v>
      </c>
      <c r="D334" s="90"/>
    </row>
    <row r="335">
      <c r="B335" s="53">
        <v>41333.0</v>
      </c>
      <c r="C335" s="90">
        <v>99.6717</v>
      </c>
      <c r="D335" s="90"/>
    </row>
    <row r="336">
      <c r="B336" s="53">
        <v>41364.0</v>
      </c>
      <c r="C336" s="90">
        <v>99.6707</v>
      </c>
      <c r="D336" s="90">
        <f>ROUND(SUM(C334:C336)/3, 4)</f>
        <v>99.6845</v>
      </c>
    </row>
    <row r="337">
      <c r="B337" s="53">
        <v>41394.0</v>
      </c>
      <c r="C337" s="90">
        <v>99.6932</v>
      </c>
      <c r="D337" s="90"/>
    </row>
    <row r="338">
      <c r="B338" s="53">
        <v>41425.0</v>
      </c>
      <c r="C338" s="90">
        <v>99.7197</v>
      </c>
      <c r="D338" s="90"/>
    </row>
    <row r="339">
      <c r="B339" s="53">
        <v>41455.0</v>
      </c>
      <c r="C339" s="90">
        <v>99.7529</v>
      </c>
      <c r="D339" s="90">
        <f>ROUND(SUM(C337:C339)/3, 4)</f>
        <v>99.7219</v>
      </c>
    </row>
    <row r="340">
      <c r="B340" s="53">
        <v>41486.0</v>
      </c>
      <c r="C340" s="90">
        <v>99.8133</v>
      </c>
      <c r="D340" s="90"/>
    </row>
    <row r="341">
      <c r="B341" s="53">
        <v>41517.0</v>
      </c>
      <c r="C341" s="90">
        <v>99.9144</v>
      </c>
      <c r="D341" s="90"/>
    </row>
    <row r="342">
      <c r="B342" s="53">
        <v>41547.0</v>
      </c>
      <c r="C342" s="90">
        <v>100.0375</v>
      </c>
      <c r="D342" s="90">
        <f>ROUND(SUM(C340:C342)/3, 4)</f>
        <v>99.9217</v>
      </c>
    </row>
    <row r="343">
      <c r="B343" s="53">
        <v>41578.0</v>
      </c>
      <c r="C343" s="90">
        <v>100.1291</v>
      </c>
      <c r="D343" s="90"/>
    </row>
    <row r="344">
      <c r="B344" s="53">
        <v>41608.0</v>
      </c>
      <c r="C344" s="90">
        <v>100.145</v>
      </c>
      <c r="D344" s="90"/>
    </row>
    <row r="345">
      <c r="B345" s="53">
        <v>41639.0</v>
      </c>
      <c r="C345" s="90">
        <v>100.0696</v>
      </c>
      <c r="D345" s="90">
        <f>ROUND(SUM(C343:C345)/3, 4)</f>
        <v>100.1146</v>
      </c>
    </row>
    <row r="346">
      <c r="B346" s="53">
        <v>41670.0</v>
      </c>
      <c r="C346" s="90">
        <v>99.9297</v>
      </c>
      <c r="D346" s="90"/>
    </row>
    <row r="347">
      <c r="B347" s="53">
        <v>41698.0</v>
      </c>
      <c r="C347" s="90">
        <v>99.7676</v>
      </c>
      <c r="D347" s="90"/>
    </row>
    <row r="348">
      <c r="B348" s="53">
        <v>41729.0</v>
      </c>
      <c r="C348" s="90">
        <v>99.6302</v>
      </c>
      <c r="D348" s="90">
        <f>ROUND(SUM(C346:C348)/3, 4)</f>
        <v>99.7758</v>
      </c>
    </row>
    <row r="349">
      <c r="B349" s="53">
        <v>41759.0</v>
      </c>
      <c r="C349" s="90">
        <v>99.545</v>
      </c>
      <c r="D349" s="90"/>
    </row>
    <row r="350">
      <c r="B350" s="53">
        <v>41790.0</v>
      </c>
      <c r="C350" s="90">
        <v>99.5345</v>
      </c>
      <c r="D350" s="90"/>
    </row>
    <row r="351">
      <c r="B351" s="53">
        <v>41820.0</v>
      </c>
      <c r="C351" s="90">
        <v>99.6018</v>
      </c>
      <c r="D351" s="90">
        <f>ROUND(SUM(C349:C351)/3, 4)</f>
        <v>99.5604</v>
      </c>
    </row>
    <row r="352">
      <c r="B352" s="53">
        <v>41851.0</v>
      </c>
      <c r="C352" s="90">
        <v>99.7308</v>
      </c>
      <c r="D352" s="90"/>
    </row>
    <row r="353">
      <c r="B353" s="53">
        <v>41882.0</v>
      </c>
      <c r="C353" s="90">
        <v>99.8972</v>
      </c>
      <c r="D353" s="90"/>
    </row>
    <row r="354">
      <c r="B354" s="53">
        <v>41912.0</v>
      </c>
      <c r="C354" s="90">
        <v>100.0775</v>
      </c>
      <c r="D354" s="90">
        <f>ROUND(SUM(C352:C354)/3, 4)</f>
        <v>99.9018</v>
      </c>
    </row>
    <row r="355">
      <c r="B355" s="53">
        <v>41943.0</v>
      </c>
      <c r="C355" s="90">
        <v>100.2692</v>
      </c>
      <c r="D355" s="90"/>
    </row>
    <row r="356">
      <c r="B356" s="53">
        <v>41973.0</v>
      </c>
      <c r="C356" s="90">
        <v>100.4378</v>
      </c>
      <c r="D356" s="90"/>
    </row>
    <row r="357">
      <c r="B357" s="53">
        <v>42004.0</v>
      </c>
      <c r="C357" s="90">
        <v>100.5532</v>
      </c>
      <c r="D357" s="90">
        <f>ROUND(SUM(C355:C357)/3, 4)</f>
        <v>100.4201</v>
      </c>
    </row>
    <row r="358">
      <c r="B358" s="53">
        <v>42035.0</v>
      </c>
      <c r="C358" s="90">
        <v>100.6037</v>
      </c>
      <c r="D358" s="90"/>
    </row>
    <row r="359">
      <c r="B359" s="53">
        <v>42063.0</v>
      </c>
      <c r="C359" s="90">
        <v>100.5888</v>
      </c>
      <c r="D359" s="90"/>
    </row>
    <row r="360">
      <c r="B360" s="53">
        <v>42094.0</v>
      </c>
      <c r="C360" s="90">
        <v>100.5191</v>
      </c>
      <c r="D360" s="90">
        <f>ROUND(SUM(C358:C360)/3, 4)</f>
        <v>100.5705</v>
      </c>
    </row>
    <row r="361">
      <c r="B361" s="53">
        <v>42124.0</v>
      </c>
      <c r="C361" s="90">
        <v>100.4066</v>
      </c>
      <c r="D361" s="90"/>
    </row>
    <row r="362">
      <c r="B362" s="53">
        <v>42155.0</v>
      </c>
      <c r="C362" s="90">
        <v>100.2768</v>
      </c>
      <c r="D362" s="90"/>
    </row>
    <row r="363">
      <c r="B363" s="53">
        <v>42185.0</v>
      </c>
      <c r="C363" s="90">
        <v>100.1447</v>
      </c>
      <c r="D363" s="90">
        <f>ROUND(SUM(C361:C363)/3, 4)</f>
        <v>100.276</v>
      </c>
    </row>
    <row r="364">
      <c r="B364" s="53">
        <v>42216.0</v>
      </c>
      <c r="C364" s="90">
        <v>100.0301</v>
      </c>
      <c r="D364" s="90"/>
    </row>
    <row r="365">
      <c r="B365" s="53">
        <v>42247.0</v>
      </c>
      <c r="C365" s="90">
        <v>99.938</v>
      </c>
      <c r="D365" s="90"/>
    </row>
    <row r="366">
      <c r="B366" s="53">
        <v>42277.0</v>
      </c>
      <c r="C366" s="90">
        <v>99.8601</v>
      </c>
      <c r="D366" s="90">
        <f>ROUND(SUM(C364:C366)/3, 4)</f>
        <v>99.9427</v>
      </c>
    </row>
    <row r="367">
      <c r="B367" s="53">
        <v>42308.0</v>
      </c>
      <c r="C367" s="90">
        <v>99.7913</v>
      </c>
      <c r="D367" s="90"/>
    </row>
    <row r="368">
      <c r="B368" s="53">
        <v>42338.0</v>
      </c>
      <c r="C368" s="90">
        <v>99.7267</v>
      </c>
      <c r="D368" s="90"/>
    </row>
    <row r="369">
      <c r="B369" s="53">
        <v>42369.0</v>
      </c>
      <c r="C369" s="90">
        <v>99.6904</v>
      </c>
      <c r="D369" s="90">
        <f>ROUND(SUM(C367:C369)/3, 4)</f>
        <v>99.7361</v>
      </c>
    </row>
    <row r="370">
      <c r="B370" s="53">
        <v>42400.0</v>
      </c>
      <c r="C370" s="90">
        <v>99.6862</v>
      </c>
      <c r="D370" s="90"/>
    </row>
    <row r="371">
      <c r="B371" s="53">
        <v>42429.0</v>
      </c>
      <c r="C371" s="90">
        <v>99.713</v>
      </c>
      <c r="D371" s="90"/>
    </row>
    <row r="372">
      <c r="B372" s="53">
        <v>42460.0</v>
      </c>
      <c r="C372" s="90">
        <v>99.761</v>
      </c>
      <c r="D372" s="90">
        <f>ROUND(SUM(C370:C372)/3, 4)</f>
        <v>99.7201</v>
      </c>
    </row>
    <row r="373">
      <c r="B373" s="53">
        <v>42490.0</v>
      </c>
      <c r="C373" s="90">
        <v>99.8223</v>
      </c>
      <c r="D373" s="90"/>
    </row>
    <row r="374">
      <c r="B374" s="53">
        <v>42521.0</v>
      </c>
      <c r="C374" s="90">
        <v>99.8887</v>
      </c>
      <c r="D374" s="90"/>
    </row>
    <row r="375">
      <c r="B375" s="53">
        <v>42551.0</v>
      </c>
      <c r="C375" s="90">
        <v>99.9608</v>
      </c>
      <c r="D375" s="90">
        <f>ROUND(SUM(C373:C375)/3, 4)</f>
        <v>99.8906</v>
      </c>
    </row>
    <row r="376">
      <c r="B376" s="53">
        <v>42582.0</v>
      </c>
      <c r="C376" s="90">
        <v>100.0393</v>
      </c>
      <c r="D376" s="90"/>
    </row>
    <row r="377">
      <c r="B377" s="53">
        <v>42613.0</v>
      </c>
      <c r="C377" s="90">
        <v>100.0946</v>
      </c>
      <c r="D377" s="90"/>
    </row>
    <row r="378">
      <c r="B378" s="53">
        <v>42643.0</v>
      </c>
      <c r="C378" s="90">
        <v>100.1217</v>
      </c>
      <c r="D378" s="90">
        <f>ROUND(SUM(C376:C378)/3, 4)</f>
        <v>100.0852</v>
      </c>
    </row>
    <row r="379">
      <c r="B379" s="53">
        <v>42674.0</v>
      </c>
      <c r="C379" s="90">
        <v>100.1385</v>
      </c>
      <c r="D379" s="90"/>
    </row>
    <row r="380">
      <c r="B380" s="53">
        <v>42704.0</v>
      </c>
      <c r="C380" s="90">
        <v>100.1603</v>
      </c>
      <c r="D380" s="90"/>
    </row>
    <row r="381">
      <c r="B381" s="53">
        <v>42735.0</v>
      </c>
      <c r="C381" s="90">
        <v>100.1803</v>
      </c>
      <c r="D381" s="90">
        <f>ROUND(SUM(C379:C381)/3, 4)</f>
        <v>100.1597</v>
      </c>
    </row>
    <row r="382">
      <c r="B382" s="53">
        <v>42766.0</v>
      </c>
      <c r="C382" s="90">
        <v>100.1924</v>
      </c>
      <c r="D382" s="90"/>
    </row>
    <row r="383">
      <c r="B383" s="53">
        <v>42794.0</v>
      </c>
      <c r="C383" s="90">
        <v>100.2071</v>
      </c>
      <c r="D383" s="90"/>
    </row>
    <row r="384">
      <c r="B384" s="53">
        <v>42825.0</v>
      </c>
      <c r="C384" s="90">
        <v>100.2202</v>
      </c>
      <c r="D384" s="90">
        <f>ROUND(SUM(C382:C384)/3, 4)</f>
        <v>100.2066</v>
      </c>
    </row>
    <row r="385">
      <c r="B385" s="53">
        <v>42855.0</v>
      </c>
      <c r="C385" s="90">
        <v>100.2356</v>
      </c>
      <c r="D385" s="90"/>
    </row>
    <row r="386">
      <c r="B386" s="53">
        <v>42886.0</v>
      </c>
      <c r="C386" s="90">
        <v>100.2417</v>
      </c>
      <c r="D386" s="90"/>
    </row>
    <row r="387">
      <c r="B387" s="53">
        <v>42916.0</v>
      </c>
      <c r="C387" s="90">
        <v>100.2329</v>
      </c>
      <c r="D387" s="90">
        <f>ROUND(SUM(C385:C387)/3, 4)</f>
        <v>100.2367</v>
      </c>
    </row>
    <row r="388">
      <c r="B388" s="53">
        <v>42947.0</v>
      </c>
      <c r="C388" s="90">
        <v>100.1948</v>
      </c>
      <c r="D388" s="90"/>
    </row>
    <row r="389">
      <c r="B389" s="53">
        <v>42978.0</v>
      </c>
      <c r="C389" s="90">
        <v>100.1334</v>
      </c>
      <c r="D389" s="90"/>
    </row>
    <row r="390">
      <c r="B390" s="53">
        <v>43008.0</v>
      </c>
      <c r="C390" s="90">
        <v>100.0564</v>
      </c>
      <c r="D390" s="90">
        <f>ROUND(SUM(C388:C390)/3, 4)</f>
        <v>100.1282</v>
      </c>
    </row>
    <row r="391">
      <c r="B391" s="53">
        <v>43039.0</v>
      </c>
      <c r="C391" s="90">
        <v>99.9631</v>
      </c>
      <c r="D391" s="90"/>
    </row>
    <row r="392">
      <c r="B392" s="53">
        <v>43069.0</v>
      </c>
      <c r="C392" s="90">
        <v>99.8446</v>
      </c>
      <c r="D392" s="90"/>
    </row>
    <row r="393">
      <c r="B393" s="53">
        <v>43100.0</v>
      </c>
      <c r="C393" s="90">
        <v>99.7006</v>
      </c>
      <c r="D393" s="90">
        <f>ROUND(SUM(C391:C393)/3, 4)</f>
        <v>99.8361</v>
      </c>
    </row>
    <row r="394">
      <c r="B394" s="53">
        <v>43131.0</v>
      </c>
      <c r="C394" s="90">
        <v>99.5682</v>
      </c>
      <c r="D394" s="90"/>
    </row>
    <row r="395">
      <c r="B395" s="53">
        <v>43159.0</v>
      </c>
      <c r="C395" s="90">
        <v>99.477</v>
      </c>
      <c r="D395" s="90"/>
    </row>
    <row r="396">
      <c r="B396" s="53">
        <v>43190.0</v>
      </c>
      <c r="C396" s="90">
        <v>99.4543</v>
      </c>
      <c r="D396" s="90">
        <f>ROUND(SUM(C394:C396)/3, 4)</f>
        <v>99.4998</v>
      </c>
    </row>
    <row r="397">
      <c r="B397" s="53">
        <v>43220.0</v>
      </c>
      <c r="C397" s="90">
        <v>99.4835</v>
      </c>
      <c r="D397" s="90"/>
    </row>
    <row r="398">
      <c r="B398" s="53">
        <v>43251.0</v>
      </c>
      <c r="C398" s="90">
        <v>99.5422</v>
      </c>
      <c r="D398" s="90"/>
    </row>
    <row r="399">
      <c r="B399" s="53">
        <v>43281.0</v>
      </c>
      <c r="C399" s="90">
        <v>99.5953</v>
      </c>
      <c r="D399" s="90">
        <f>ROUND(SUM(C397:C399)/3, 4)</f>
        <v>99.5403</v>
      </c>
    </row>
    <row r="400">
      <c r="B400" s="53">
        <v>43312.0</v>
      </c>
      <c r="C400" s="90">
        <v>99.612</v>
      </c>
      <c r="D400" s="90"/>
    </row>
    <row r="401">
      <c r="B401" s="53">
        <v>43343.0</v>
      </c>
      <c r="C401" s="90">
        <v>99.5785</v>
      </c>
      <c r="D401" s="90"/>
    </row>
    <row r="402">
      <c r="B402" s="53">
        <v>43373.0</v>
      </c>
      <c r="C402" s="90">
        <v>99.5052</v>
      </c>
      <c r="D402" s="90">
        <f>ROUND(SUM(C400:C402)/3, 4)</f>
        <v>99.5652</v>
      </c>
    </row>
    <row r="403">
      <c r="B403" s="53">
        <v>43404.0</v>
      </c>
      <c r="C403" s="90">
        <v>99.4176</v>
      </c>
      <c r="D403" s="90"/>
    </row>
    <row r="404">
      <c r="B404" s="53">
        <v>43434.0</v>
      </c>
      <c r="C404" s="90">
        <v>99.351</v>
      </c>
      <c r="D404" s="90"/>
    </row>
    <row r="405">
      <c r="B405" s="53">
        <v>43465.0</v>
      </c>
      <c r="C405" s="90">
        <v>99.3397</v>
      </c>
      <c r="D405" s="90">
        <f>ROUND(SUM(C403:C405)/3, 4)</f>
        <v>99.3694</v>
      </c>
    </row>
    <row r="406">
      <c r="B406" s="53">
        <v>43496.0</v>
      </c>
      <c r="C406" s="90">
        <v>99.3885</v>
      </c>
      <c r="D406" s="90"/>
    </row>
    <row r="407">
      <c r="B407" s="53">
        <v>43524.0</v>
      </c>
      <c r="C407" s="90">
        <v>99.4884</v>
      </c>
      <c r="D407" s="90"/>
    </row>
    <row r="408">
      <c r="B408" s="53">
        <v>43555.0</v>
      </c>
      <c r="C408" s="90">
        <v>99.6209</v>
      </c>
      <c r="D408" s="90">
        <f>ROUND(SUM(C406:C408)/3, 4)</f>
        <v>99.4993</v>
      </c>
    </row>
    <row r="409">
      <c r="B409" s="53">
        <v>43585.0</v>
      </c>
      <c r="C409" s="90">
        <v>99.7707</v>
      </c>
      <c r="D409" s="90"/>
    </row>
    <row r="410">
      <c r="B410" s="53">
        <v>43616.0</v>
      </c>
      <c r="C410" s="90">
        <v>99.9197</v>
      </c>
      <c r="D410" s="90"/>
    </row>
    <row r="411">
      <c r="B411" s="53">
        <v>43646.0</v>
      </c>
      <c r="C411" s="90">
        <v>100.0364</v>
      </c>
      <c r="D411" s="90">
        <f>ROUND(SUM(C409:C411)/3, 4)</f>
        <v>99.9089</v>
      </c>
    </row>
    <row r="412">
      <c r="B412" s="53">
        <v>43677.0</v>
      </c>
      <c r="C412" s="90">
        <v>100.1035</v>
      </c>
      <c r="D412" s="90"/>
    </row>
    <row r="413">
      <c r="B413" s="53">
        <v>43708.0</v>
      </c>
      <c r="C413" s="90">
        <v>100.1261</v>
      </c>
      <c r="D413" s="90"/>
    </row>
    <row r="414">
      <c r="B414" s="53">
        <v>43738.0</v>
      </c>
      <c r="C414" s="90">
        <v>100.113</v>
      </c>
      <c r="D414" s="90">
        <f>ROUND(SUM(C412:C414)/3, 4)</f>
        <v>100.1142</v>
      </c>
    </row>
    <row r="415">
      <c r="B415" s="53">
        <v>43769.0</v>
      </c>
      <c r="C415" s="90">
        <v>100.0791</v>
      </c>
      <c r="D415" s="90"/>
    </row>
    <row r="416">
      <c r="B416" s="53">
        <v>43799.0</v>
      </c>
      <c r="C416" s="90">
        <v>100.0397</v>
      </c>
      <c r="D416" s="90"/>
    </row>
    <row r="417">
      <c r="B417" s="53">
        <v>43830.0</v>
      </c>
      <c r="C417" s="90">
        <v>99.9967</v>
      </c>
      <c r="D417" s="90">
        <f>ROUND(SUM(C415:C417)/3, 4)</f>
        <v>100.0385</v>
      </c>
    </row>
    <row r="418">
      <c r="B418" s="53">
        <v>43861.0</v>
      </c>
      <c r="C418" s="90">
        <v>99.9655</v>
      </c>
      <c r="D418" s="90"/>
    </row>
    <row r="419">
      <c r="B419" s="53">
        <v>43890.0</v>
      </c>
      <c r="C419" s="90">
        <v>99.9535</v>
      </c>
      <c r="D419" s="90"/>
    </row>
    <row r="420">
      <c r="B420" s="53">
        <v>43921.0</v>
      </c>
      <c r="C420" s="90">
        <v>98.4467</v>
      </c>
      <c r="D420" s="90">
        <f>ROUND(SUM(C418:C420)/3, 4)</f>
        <v>99.4552</v>
      </c>
    </row>
    <row r="421">
      <c r="B421" s="53">
        <v>43951.0</v>
      </c>
      <c r="C421" s="90">
        <v>97.4185</v>
      </c>
      <c r="D421" s="90"/>
    </row>
    <row r="422">
      <c r="B422" s="53">
        <v>43982.0</v>
      </c>
      <c r="C422" s="90">
        <v>96.9603</v>
      </c>
      <c r="D422" s="90"/>
    </row>
    <row r="423">
      <c r="B423" s="53">
        <v>44012.0</v>
      </c>
      <c r="C423" s="90">
        <v>97.6092</v>
      </c>
      <c r="D423" s="90">
        <f>ROUND(SUM(C421:C423)/3, 4)</f>
        <v>97.3293</v>
      </c>
    </row>
    <row r="424">
      <c r="B424" s="53">
        <v>44043.0</v>
      </c>
      <c r="C424" s="90">
        <v>98.174</v>
      </c>
      <c r="D424" s="90"/>
    </row>
    <row r="425">
      <c r="B425" s="53">
        <v>44074.0</v>
      </c>
      <c r="C425" s="90">
        <v>98.8136</v>
      </c>
      <c r="D425" s="90"/>
    </row>
    <row r="426">
      <c r="B426" s="53">
        <v>44104.0</v>
      </c>
      <c r="C426" s="90">
        <v>99.2668</v>
      </c>
      <c r="D426" s="90">
        <f>ROUND(SUM(C424:C426)/3, 4)</f>
        <v>98.7515</v>
      </c>
    </row>
    <row r="427">
      <c r="B427" s="53">
        <v>44135.0</v>
      </c>
      <c r="C427" s="90">
        <v>99.8287</v>
      </c>
      <c r="D427" s="90"/>
    </row>
    <row r="428">
      <c r="B428" s="53">
        <v>44165.0</v>
      </c>
      <c r="C428" s="90">
        <v>100.4268</v>
      </c>
      <c r="D428" s="90"/>
    </row>
    <row r="429">
      <c r="B429" s="53">
        <v>44196.0</v>
      </c>
      <c r="C429" s="90">
        <v>100.7702</v>
      </c>
      <c r="D429" s="90">
        <f>ROUND(SUM(C427:C429)/3, 4)</f>
        <v>100.3419</v>
      </c>
    </row>
    <row r="430">
      <c r="B430" s="53">
        <v>44227.0</v>
      </c>
      <c r="C430" s="90">
        <v>101.0105</v>
      </c>
      <c r="D430" s="90"/>
    </row>
    <row r="431">
      <c r="B431" s="53">
        <v>44255.0</v>
      </c>
      <c r="C431" s="90">
        <v>101.2152</v>
      </c>
      <c r="D431" s="90"/>
    </row>
    <row r="432">
      <c r="B432" s="53">
        <v>44286.0</v>
      </c>
      <c r="C432" s="90">
        <v>101.3787</v>
      </c>
      <c r="D432" s="90">
        <f>ROUND(SUM(C430:C432)/3, 4)</f>
        <v>101.2015</v>
      </c>
    </row>
    <row r="433">
      <c r="B433" s="53">
        <v>44316.0</v>
      </c>
      <c r="C433" s="90">
        <v>101.4967</v>
      </c>
      <c r="D433" s="90"/>
    </row>
    <row r="434">
      <c r="B434" s="53">
        <v>44347.0</v>
      </c>
      <c r="C434" s="90">
        <v>101.5539</v>
      </c>
      <c r="D434" s="90"/>
    </row>
    <row r="435">
      <c r="B435" s="53">
        <v>44377.0</v>
      </c>
      <c r="C435" s="90">
        <v>101.5404</v>
      </c>
      <c r="D435" s="90">
        <f>ROUND(SUM(C433:C435)/3, 4)</f>
        <v>101.5303</v>
      </c>
    </row>
    <row r="436">
      <c r="B436" s="53">
        <v>44408.0</v>
      </c>
      <c r="C436" s="90">
        <v>101.4593</v>
      </c>
      <c r="D436" s="90"/>
    </row>
    <row r="437">
      <c r="B437" s="53">
        <v>44439.0</v>
      </c>
      <c r="C437" s="90">
        <v>101.3081</v>
      </c>
      <c r="D437" s="90"/>
    </row>
    <row r="438">
      <c r="B438" s="53">
        <v>44469.0</v>
      </c>
      <c r="C438" s="90">
        <v>101.1085</v>
      </c>
      <c r="D438" s="90">
        <f>ROUND(SUM(C436:C438)/3, 4)</f>
        <v>101.292</v>
      </c>
    </row>
    <row r="439">
      <c r="B439" s="53">
        <v>44500.0</v>
      </c>
      <c r="C439" s="90">
        <v>100.9093</v>
      </c>
      <c r="D439" s="90"/>
    </row>
    <row r="440">
      <c r="B440" s="53">
        <v>44530.0</v>
      </c>
      <c r="C440" s="90">
        <v>100.7556</v>
      </c>
      <c r="D440" s="90"/>
    </row>
    <row r="441">
      <c r="B441" s="53">
        <v>44561.0</v>
      </c>
      <c r="C441" s="90">
        <v>100.6638</v>
      </c>
      <c r="D441" s="90">
        <f>ROUND(SUM(C439:C441)/3, 4)</f>
        <v>100.7762</v>
      </c>
    </row>
    <row r="442">
      <c r="B442" s="53">
        <v>44592.0</v>
      </c>
      <c r="C442" s="90">
        <v>100.6242</v>
      </c>
      <c r="D442" s="90"/>
    </row>
    <row r="443">
      <c r="B443" s="53">
        <v>44620.0</v>
      </c>
      <c r="C443" s="90">
        <v>100.6196</v>
      </c>
      <c r="D443" s="90"/>
    </row>
    <row r="444">
      <c r="B444" s="53">
        <v>44651.0</v>
      </c>
      <c r="C444" s="90">
        <v>100.6311</v>
      </c>
      <c r="D444" s="90">
        <f>ROUND(SUM(C442:C444)/3, 4)</f>
        <v>100.625</v>
      </c>
    </row>
    <row r="445">
      <c r="B445" s="53">
        <v>44681.0</v>
      </c>
      <c r="C445" s="90">
        <v>100.6503</v>
      </c>
      <c r="D445" s="90"/>
    </row>
    <row r="446">
      <c r="B446" s="53">
        <v>44712.0</v>
      </c>
      <c r="C446" s="90">
        <v>100.6561</v>
      </c>
      <c r="D446" s="90"/>
    </row>
    <row r="447">
      <c r="B447" s="53">
        <v>44742.0</v>
      </c>
      <c r="C447" s="90">
        <v>100.6346</v>
      </c>
      <c r="D447" s="90">
        <f>ROUND(SUM(C445:C447)/3, 4)</f>
        <v>100.647</v>
      </c>
    </row>
    <row r="448">
      <c r="B448" s="53">
        <v>44773.0</v>
      </c>
      <c r="C448" s="90">
        <v>100.5778</v>
      </c>
      <c r="D448" s="90"/>
    </row>
    <row r="449">
      <c r="B449" s="53">
        <v>44804.0</v>
      </c>
      <c r="C449" s="90">
        <v>100.4765</v>
      </c>
      <c r="D449" s="90"/>
    </row>
    <row r="450">
      <c r="B450" s="53">
        <v>44834.0</v>
      </c>
      <c r="C450" s="90">
        <v>100.3113</v>
      </c>
      <c r="D450" s="90">
        <f>ROUND(SUM(C448:C450)/3, 4)</f>
        <v>100.4552</v>
      </c>
    </row>
    <row r="451">
      <c r="B451" s="53">
        <v>44865.0</v>
      </c>
      <c r="C451" s="90">
        <v>100.1097</v>
      </c>
      <c r="D451" s="90"/>
    </row>
    <row r="452">
      <c r="B452" s="53">
        <v>44895.0</v>
      </c>
      <c r="C452" s="90">
        <v>99.9159</v>
      </c>
      <c r="D452" s="90"/>
    </row>
    <row r="453">
      <c r="B453" s="53">
        <v>44926.0</v>
      </c>
      <c r="C453" s="90">
        <v>99.7471</v>
      </c>
      <c r="D453" s="90">
        <f>ROUND(SUM(C451:C453)/3, 4)</f>
        <v>99.9242</v>
      </c>
    </row>
    <row r="454">
      <c r="B454" s="53">
        <v>44957.0</v>
      </c>
      <c r="C454" s="90">
        <v>99.5973</v>
      </c>
      <c r="D454" s="90"/>
    </row>
    <row r="455">
      <c r="B455" s="53">
        <v>44985.0</v>
      </c>
      <c r="C455" s="90">
        <v>99.4725</v>
      </c>
      <c r="D455" s="90"/>
    </row>
    <row r="456">
      <c r="B456" s="53">
        <v>45016.0</v>
      </c>
      <c r="C456" s="90">
        <v>99.3589</v>
      </c>
      <c r="D456" s="90">
        <f>ROUND(SUM(C454:C456)/3, 4)</f>
        <v>99.4762</v>
      </c>
    </row>
    <row r="457">
      <c r="B457" s="53">
        <v>45046.0</v>
      </c>
      <c r="C457" s="90">
        <v>99.2489</v>
      </c>
      <c r="D457" s="90"/>
    </row>
    <row r="458">
      <c r="B458" s="53">
        <v>45077.0</v>
      </c>
      <c r="C458" s="90">
        <v>99.1488</v>
      </c>
      <c r="D458" s="90"/>
    </row>
    <row r="459">
      <c r="B459" s="53">
        <v>45107.0</v>
      </c>
      <c r="C459" s="90">
        <v>99.071</v>
      </c>
      <c r="D459" s="90">
        <f>ROUND(SUM(C457:C459)/3, 4)</f>
        <v>99.1562</v>
      </c>
    </row>
    <row r="460">
      <c r="B460" s="53">
        <v>45138.0</v>
      </c>
      <c r="C460" s="90">
        <v>99.0048</v>
      </c>
      <c r="D460" s="90"/>
    </row>
    <row r="461">
      <c r="B461" s="53">
        <v>45169.0</v>
      </c>
      <c r="C461" s="90">
        <v>98.9667</v>
      </c>
      <c r="D461" s="90"/>
    </row>
    <row r="462">
      <c r="B462" s="53">
        <v>45199.0</v>
      </c>
      <c r="C462" s="90">
        <v>98.9308</v>
      </c>
      <c r="D462" s="90">
        <f>ROUND(SUM(C460:C462)/3, 4)</f>
        <v>98.9674</v>
      </c>
    </row>
    <row r="463">
      <c r="B463" s="53">
        <v>45230.0</v>
      </c>
      <c r="C463" s="90">
        <v>98.8919</v>
      </c>
      <c r="D463" s="90"/>
    </row>
    <row r="464">
      <c r="B464" s="53">
        <v>45260.0</v>
      </c>
      <c r="C464" s="90">
        <v>98.9388</v>
      </c>
      <c r="D464" s="90"/>
    </row>
    <row r="465">
      <c r="B465" s="53">
        <v>45291.0</v>
      </c>
      <c r="C465" s="90">
        <v>98.9917</v>
      </c>
      <c r="D465" s="90">
        <f>ROUND(SUM(C463:C465)/3, 4)</f>
        <v>98.9408</v>
      </c>
    </row>
    <row r="466">
      <c r="B466" s="53">
        <v>45322.0</v>
      </c>
      <c r="C466" s="90">
        <v>99.05</v>
      </c>
      <c r="D466" s="90"/>
    </row>
    <row r="467">
      <c r="B467" s="53">
        <v>45351.0</v>
      </c>
      <c r="C467" s="90">
        <v>99.1177</v>
      </c>
      <c r="D467" s="90"/>
    </row>
    <row r="468">
      <c r="B468" s="53">
        <v>45382.0</v>
      </c>
      <c r="C468" s="90">
        <v>99.2049</v>
      </c>
      <c r="D468" s="90">
        <f>ROUND(SUM(C466:C468)/3, 4)</f>
        <v>99.1242</v>
      </c>
    </row>
    <row r="469">
      <c r="B469" s="53">
        <v>45412.0</v>
      </c>
      <c r="C469" s="90">
        <v>99.3087</v>
      </c>
      <c r="D469" s="90"/>
    </row>
    <row r="470">
      <c r="B470" s="53">
        <v>45443.0</v>
      </c>
      <c r="C470" s="90">
        <v>99.4146</v>
      </c>
      <c r="D470" s="90"/>
    </row>
    <row r="471">
      <c r="B471" s="53">
        <v>45473.0</v>
      </c>
      <c r="C471" s="90">
        <v>99.6709</v>
      </c>
      <c r="D471" s="90">
        <f>ROUND(SUM(C469:C471)/3, 4)</f>
        <v>99.4647</v>
      </c>
    </row>
    <row r="472">
      <c r="D472" s="17"/>
    </row>
    <row r="473">
      <c r="D473" s="17"/>
    </row>
    <row r="474">
      <c r="D474" s="17"/>
    </row>
    <row r="475">
      <c r="D475" s="17"/>
    </row>
  </sheetData>
  <mergeCells count="3">
    <mergeCell ref="B6:D6"/>
    <mergeCell ref="B2:D2"/>
    <mergeCell ref="B4:D4"/>
  </mergeCells>
  <hyperlinks>
    <hyperlink r:id="rId1" location=":~:text=Composite%20Leading%20Indicator%20in%20Australia,points%20in%20October%20of%201974." ref="B2"/>
    <hyperlink r:id="rId2" ref="B6"/>
  </hyperlinks>
  <drawing r:id="rId3"/>
</worksheet>
</file>